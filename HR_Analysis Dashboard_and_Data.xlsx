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Bhavesh\Downloads\"/>
    </mc:Choice>
  </mc:AlternateContent>
  <xr:revisionPtr revIDLastSave="0" documentId="8_{7C532FE5-D6F0-4D25-A039-4AC890BB33AA}" xr6:coauthVersionLast="47" xr6:coauthVersionMax="47" xr10:uidLastSave="{00000000-0000-0000-0000-000000000000}"/>
  <bookViews>
    <workbookView xWindow="-108" yWindow="-108" windowWidth="23256" windowHeight="12456" firstSheet="3" activeTab="3" xr2:uid="{CADB3577-1418-4AF0-9530-594436E02894}"/>
  </bookViews>
  <sheets>
    <sheet name="Gender" sheetId="9" r:id="rId1"/>
    <sheet name="KPI" sheetId="10" r:id="rId2"/>
    <sheet name="Rating" sheetId="11" r:id="rId3"/>
    <sheet name="Education by Attrition " sheetId="12" r:id="rId4"/>
    <sheet name="Attrition by Job" sheetId="13" r:id="rId5"/>
    <sheet name="Department wise Attrition" sheetId="14" r:id="rId6"/>
    <sheet name="Attrition by Age" sheetId="15" r:id="rId7"/>
    <sheet name="Marital Status" sheetId="16" r:id="rId8"/>
    <sheet name="Data" sheetId="1" r:id="rId9"/>
    <sheet name="Dashboard" sheetId="3" r:id="rId10"/>
  </sheets>
  <definedNames>
    <definedName name="_xlchart.v1.0" hidden="1">'Attrition by Job'!$E$4:$E$12</definedName>
    <definedName name="_xlchart.v1.1" hidden="1">'Attrition by Job'!$F$3</definedName>
    <definedName name="_xlchart.v1.10" hidden="1">'Attrition by Job'!$F$3</definedName>
    <definedName name="_xlchart.v1.11" hidden="1">'Attrition by Job'!$F$4:$F$12</definedName>
    <definedName name="_xlchart.v1.2" hidden="1">'Attrition by Job'!$F$4:$F$12</definedName>
    <definedName name="_xlchart.v1.9" hidden="1">'Attrition by Job'!$E$4:$E$12</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Education">#N/A</definedName>
    <definedName name="Slicer_Education_Field">#N/A</definedName>
    <definedName name="Slicer_Gender">#N/A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6" l="1"/>
  <c r="E5" i="16"/>
  <c r="E6" i="16"/>
  <c r="E4" i="16"/>
  <c r="D5" i="16"/>
  <c r="D6" i="16"/>
  <c r="F4" i="13"/>
  <c r="F5" i="13"/>
  <c r="F6" i="13"/>
  <c r="F7" i="13"/>
  <c r="F8" i="13"/>
  <c r="F9" i="13"/>
  <c r="F10" i="13"/>
  <c r="F11" i="13"/>
  <c r="F12" i="13"/>
  <c r="E5" i="13"/>
  <c r="E6" i="13"/>
  <c r="E7" i="13"/>
  <c r="E8" i="13"/>
  <c r="E9" i="13"/>
  <c r="E10" i="13"/>
  <c r="E11" i="13"/>
  <c r="E12" i="13"/>
  <c r="E4" i="13"/>
  <c r="B6" i="11"/>
  <c r="D6" i="11" s="1"/>
  <c r="C8" i="10"/>
  <c r="B8" i="10"/>
  <c r="A8" i="10"/>
  <c r="D8" i="10" s="1"/>
  <c r="B10" i="9"/>
  <c r="B11" i="9"/>
  <c r="F8" i="10" l="1"/>
  <c r="D10" i="9"/>
  <c r="D11" i="9"/>
  <c r="B7" i="11"/>
  <c r="D7" i="11" s="1"/>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<sst xmlns="http://schemas.openxmlformats.org/spreadsheetml/2006/main" count="19216" uniqueCount="1569">
  <si>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</si>
  <si>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</si>
  <si>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</si>
  <si>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</si>
  <si>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</si>
  <si>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</si>
  <si>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</si>
  <si>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</si>
  <si>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</si>
  <si>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</si>
  <si>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</si>
  <si>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</si>
  <si>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</si>
  <si>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</si>
  <si>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</si>
  <si>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</si>
  <si>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</si>
  <si>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</si>
  <si>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</si>
  <si>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</si>
  <si>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</si>
  <si>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</si>
  <si>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</si>
  <si>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</si>
  <si>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</si>
  <si>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</si>
  <si>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</si>
  <si>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</si>
  <si>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</si>
  <si>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</si>
  <si>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</si>
  <si>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</si>
  <si>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</si>
  <si>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</si>
  <si>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</si>
  <si>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</si>
  <si>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</si>
  <si>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</si>
  <si>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</si>
  <si>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</si>
  <si>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</si>
  <si>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</si>
  <si>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</si>
  <si>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</si>
  <si>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</si>
  <si>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</si>
  <si>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</si>
  <si>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</si>
  <si>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</si>
  <si>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</si>
  <si>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</si>
  <si>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</si>
  <si>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</si>
  <si>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</si>
  <si>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</si>
  <si>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</si>
  <si>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</si>
  <si>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</si>
  <si>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</si>
  <si>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</si>
  <si>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</si>
  <si>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</si>
  <si>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</si>
  <si>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</si>
  <si>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</si>
  <si>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</si>
  <si>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</si>
  <si>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</si>
  <si>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</si>
  <si>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</si>
  <si>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</si>
  <si>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</si>
  <si>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</si>
  <si>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</si>
  <si>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</si>
  <si>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</si>
  <si>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</si>
  <si>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</si>
  <si>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</si>
  <si>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</si>
  <si>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</si>
  <si>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</si>
  <si>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</si>
  <si>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</si>
  <si>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</si>
  <si>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</si>
  <si>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</si>
  <si>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</si>
  <si>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</si>
  <si>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</si>
  <si>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</si>
  <si>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</si>
  <si>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</si>
  <si>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</si>
  <si>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</si>
  <si>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</si>
  <si>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</si>
  <si>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</si>
  <si>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</si>
  <si>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</si>
  <si>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</si>
  <si>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</si>
  <si>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</si>
  <si>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</si>
  <si>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</si>
  <si>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</si>
  <si>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</si>
  <si>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</si>
  <si>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</si>
  <si>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</si>
  <si>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</si>
  <si>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</si>
  <si>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</si>
  <si>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</si>
  <si>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</si>
  <si>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</si>
  <si>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</si>
  <si>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</si>
  <si>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</si>
  <si>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</si>
  <si>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</si>
  <si>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</si>
  <si>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</si>
  <si>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</si>
  <si>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</si>
  <si>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</si>
  <si>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</si>
  <si>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</si>
  <si>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</si>
  <si>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</si>
  <si>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</si>
  <si>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</si>
  <si>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</si>
  <si>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</si>
  <si>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</si>
  <si>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</si>
  <si>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</si>
  <si>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</si>
  <si>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</si>
  <si>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</si>
  <si>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</si>
  <si>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</si>
  <si>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</si>
  <si>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</si>
  <si>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</si>
  <si>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</si>
  <si>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</si>
  <si>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</si>
  <si>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</si>
  <si>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</si>
  <si>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</si>
  <si>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</si>
  <si>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</si>
  <si>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</si>
  <si>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</si>
  <si>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</si>
  <si>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</si>
  <si>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</si>
  <si>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</si>
  <si>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</si>
  <si>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</si>
  <si>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</si>
  <si>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</si>
  <si>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</si>
  <si>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</si>
  <si>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</si>
  <si>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</si>
  <si>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</si>
  <si>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</si>
  <si>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</si>
  <si>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</si>
  <si>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</si>
  <si>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</si>
  <si>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</si>
  <si>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</si>
  <si>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</si>
  <si>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</si>
  <si>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</si>
  <si>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</si>
  <si>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</si>
  <si>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</si>
  <si>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</si>
  <si>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</si>
  <si>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</si>
  <si>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</si>
  <si>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</si>
  <si>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</si>
  <si>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</si>
  <si>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</si>
  <si>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</si>
  <si>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</si>
  <si>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</si>
  <si>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</si>
  <si>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</si>
  <si>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</si>
  <si>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</si>
  <si>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</si>
  <si>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</si>
  <si>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</si>
  <si>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</si>
  <si>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</si>
  <si>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</si>
  <si>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</si>
  <si>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</si>
  <si>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</si>
  <si>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</si>
  <si>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</si>
  <si>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</si>
  <si>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</si>
  <si>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</si>
  <si>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</si>
  <si>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</si>
  <si>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</si>
  <si>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</si>
  <si>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</si>
  <si>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</si>
  <si>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</si>
  <si>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</si>
  <si>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</si>
  <si>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</si>
  <si>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</si>
  <si>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</si>
  <si>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</si>
  <si>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</si>
  <si>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</si>
  <si>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</si>
  <si>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</si>
  <si>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</si>
  <si>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</si>
  <si>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</si>
  <si>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</si>
  <si>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</si>
  <si>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</si>
  <si>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</si>
  <si>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</si>
  <si>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</si>
  <si>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</si>
  <si>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</si>
  <si>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</si>
  <si>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</si>
  <si>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</si>
  <si>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</si>
  <si>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</si>
  <si>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</si>
  <si>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</si>
  <si>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</si>
  <si>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</si>
  <si>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</si>
  <si>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</si>
  <si>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</si>
  <si>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</si>
  <si>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</si>
  <si>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</si>
  <si>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</si>
  <si>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</si>
  <si>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</si>
  <si>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</si>
  <si>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</si>
  <si>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</si>
  <si>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</si>
  <si>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</si>
  <si>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</si>
  <si>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</si>
  <si>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</si>
  <si>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</si>
  <si>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</si>
  <si>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</si>
  <si>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</si>
  <si>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</si>
  <si>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</si>
  <si>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</si>
  <si>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</si>
  <si>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</si>
  <si>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</si>
  <si>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</si>
  <si>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</si>
  <si>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</si>
  <si>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</si>
  <si>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</si>
  <si>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</si>
  <si>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</si>
  <si>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</si>
  <si>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</si>
  <si>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</si>
  <si>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</si>
  <si>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</si>
  <si>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</si>
  <si>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</si>
  <si>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</si>
  <si>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</si>
  <si>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</si>
  <si>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</si>
  <si>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</si>
  <si>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</si>
  <si>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</si>
  <si>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</si>
  <si>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</si>
  <si>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</si>
  <si>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</si>
  <si>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</si>
  <si>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</si>
  <si>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</si>
  <si>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</si>
  <si>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</si>
  <si>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</si>
  <si>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</si>
  <si>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</si>
  <si>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</si>
  <si>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</si>
  <si>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</si>
  <si>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</si>
  <si>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</si>
  <si>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</si>
  <si>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</si>
  <si>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</si>
  <si>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</si>
  <si>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</si>
  <si>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</si>
  <si>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</si>
  <si>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</si>
  <si>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</si>
  <si>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</si>
  <si>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</si>
  <si>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</si>
  <si>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</si>
  <si>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</si>
  <si>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</si>
  <si>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</si>
  <si>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</si>
  <si>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</si>
  <si>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</si>
  <si>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</si>
  <si>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</si>
  <si>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</si>
  <si>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</si>
  <si>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</si>
  <si>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</si>
  <si>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</si>
  <si>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</si>
  <si>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</si>
  <si>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</si>
  <si>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</si>
  <si>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</si>
  <si>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</si>
  <si>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</si>
  <si>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</si>
  <si>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</si>
  <si>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</si>
  <si>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</si>
  <si>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</si>
  <si>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</si>
  <si>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</si>
  <si>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</si>
  <si>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</si>
  <si>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</si>
  <si>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</si>
  <si>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</si>
  <si>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</si>
  <si>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</si>
  <si>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</si>
  <si>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</si>
  <si>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</si>
  <si>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</si>
  <si>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</si>
  <si>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</si>
  <si>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</si>
  <si>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</si>
  <si>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</si>
  <si>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</si>
  <si>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</si>
  <si>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</si>
  <si>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</si>
  <si>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</si>
  <si>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</si>
  <si>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</si>
  <si>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</si>
  <si>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</si>
  <si>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</si>
  <si>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</si>
  <si>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</si>
  <si>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</si>
  <si>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</si>
  <si>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</si>
  <si>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</si>
  <si>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</si>
  <si>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</si>
  <si>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</si>
  <si>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</si>
  <si>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</si>
  <si>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</si>
  <si>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</si>
  <si>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</si>
  <si>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</si>
  <si>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</si>
  <si>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</si>
  <si>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</si>
  <si>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</si>
  <si>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</si>
  <si>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</si>
  <si>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</si>
  <si>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</si>
  <si>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</si>
  <si>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</si>
  <si>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</si>
  <si>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</si>
  <si>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</si>
  <si>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</si>
  <si>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</si>
  <si>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</si>
  <si>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</si>
  <si>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</si>
  <si>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</si>
  <si>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</si>
  <si>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</si>
  <si>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</si>
  <si>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</si>
  <si>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</si>
  <si>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</si>
  <si>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</si>
  <si>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</si>
  <si>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</si>
  <si>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</si>
  <si>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</si>
  <si>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</si>
  <si>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</si>
  <si>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</si>
  <si>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</si>
  <si>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</si>
  <si>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</si>
  <si>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</si>
  <si>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</si>
  <si>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</si>
  <si>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</si>
  <si>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</si>
  <si>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</si>
  <si>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</si>
  <si>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</si>
  <si>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</si>
  <si>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</si>
  <si>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</si>
  <si>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</si>
  <si>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</si>
  <si>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</si>
  <si>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</si>
  <si>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</si>
  <si>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</si>
  <si>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</si>
  <si>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</si>
  <si>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</si>
  <si>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</si>
  <si>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</si>
  <si>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</si>
  <si>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</si>
  <si>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</si>
  <si>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</si>
  <si>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</si>
  <si>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</si>
  <si>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</si>
  <si>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</si>
  <si>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</si>
  <si>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</si>
  <si>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</si>
  <si>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</si>
  <si>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</si>
  <si>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</si>
  <si>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</si>
  <si>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</si>
  <si>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</si>
  <si>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</si>
  <si>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</si>
  <si>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</si>
  <si>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</si>
  <si>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</si>
  <si>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</si>
  <si>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</si>
  <si>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</si>
  <si>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</si>
  <si>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</si>
  <si>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</si>
  <si>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</si>
  <si>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</si>
  <si>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</si>
  <si>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</si>
  <si>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</si>
  <si>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</si>
  <si>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</si>
  <si>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</si>
  <si>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</si>
  <si>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</si>
  <si>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</si>
  <si>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</si>
  <si>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</si>
  <si>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</si>
  <si>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</si>
  <si>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</si>
  <si>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</si>
  <si>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</si>
  <si>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</si>
  <si>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</si>
  <si>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</si>
  <si>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</si>
  <si>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</si>
  <si>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</si>
  <si>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</si>
  <si>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</si>
  <si>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</si>
  <si>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</si>
  <si>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</si>
  <si>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</si>
  <si>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</si>
  <si>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</si>
  <si>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</si>
  <si>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</si>
  <si>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</si>
  <si>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</si>
  <si>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</si>
  <si>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</si>
  <si>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</si>
  <si>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</si>
  <si>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</si>
  <si>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</si>
  <si>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</si>
  <si>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</si>
  <si>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</si>
  <si>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</si>
  <si>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</si>
  <si>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</si>
  <si>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</si>
  <si>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</si>
  <si>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</si>
  <si>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</si>
  <si>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</si>
  <si>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</si>
  <si>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</si>
  <si>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</si>
  <si>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</si>
  <si>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</si>
  <si>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</si>
  <si>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</si>
  <si>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</si>
  <si>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</si>
  <si>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</si>
  <si>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</si>
  <si>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</si>
  <si>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</si>
  <si>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</si>
  <si>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</si>
  <si>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</si>
  <si>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</si>
  <si>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</si>
  <si>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</si>
  <si>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</si>
  <si>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</si>
  <si>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</si>
  <si>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</si>
  <si>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</si>
  <si>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</si>
  <si>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</si>
  <si>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</si>
  <si>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</si>
  <si>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</si>
  <si>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</si>
  <si>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</si>
  <si>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</si>
  <si>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</si>
  <si>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</si>
  <si>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</si>
  <si>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</si>
  <si>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</si>
  <si>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</si>
  <si>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</si>
  <si>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</si>
  <si>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</si>
  <si>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</si>
  <si>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</si>
  <si>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</si>
  <si>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</si>
  <si>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</si>
  <si>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</si>
  <si>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</si>
  <si>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</si>
  <si>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</si>
  <si>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</si>
  <si>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</si>
  <si>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</si>
  <si>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</si>
  <si>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</si>
  <si>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</si>
  <si>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</si>
  <si>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</si>
  <si>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</si>
  <si>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</si>
  <si>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</si>
  <si>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</si>
  <si>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</si>
  <si>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</si>
  <si>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</si>
  <si>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</si>
  <si>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</si>
  <si>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</si>
  <si>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</si>
  <si>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</si>
  <si>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</si>
  <si>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</si>
  <si>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</si>
  <si>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</si>
  <si>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</si>
  <si>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</si>
  <si>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</si>
  <si>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</si>
  <si>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</si>
  <si>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</si>
  <si>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</si>
  <si>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</si>
  <si>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</si>
  <si>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</si>
  <si>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</si>
  <si>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</si>
  <si>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</si>
  <si>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</si>
  <si>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</si>
  <si>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</si>
  <si>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</si>
  <si>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</si>
  <si>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</si>
  <si>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</si>
  <si>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</si>
  <si>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</si>
  <si>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</si>
  <si>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</si>
  <si>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</si>
  <si>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</si>
  <si>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</si>
  <si>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</si>
  <si>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</si>
  <si>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</si>
  <si>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</si>
  <si>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</si>
  <si>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</si>
  <si>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</si>
  <si>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</si>
  <si>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</si>
  <si>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</si>
  <si>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</si>
  <si>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</si>
  <si>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</si>
  <si>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</si>
  <si>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</si>
  <si>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</si>
  <si>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</si>
  <si>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</si>
  <si>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</si>
  <si>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</si>
  <si>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</si>
  <si>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</si>
  <si>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</si>
  <si>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</si>
  <si>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</si>
  <si>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</si>
  <si>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</si>
  <si>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</si>
  <si>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</si>
  <si>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</si>
  <si>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</si>
  <si>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</si>
  <si>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</si>
  <si>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</si>
  <si>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</si>
  <si>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</si>
  <si>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</si>
  <si>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</si>
  <si>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</si>
  <si>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</si>
  <si>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</si>
  <si>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</si>
  <si>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</si>
  <si>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</si>
  <si>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</si>
  <si>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</si>
  <si>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</si>
  <si>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</si>
  <si>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</si>
  <si>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</si>
  <si>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</si>
  <si>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</si>
  <si>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</si>
  <si>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</si>
  <si>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</si>
  <si>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</si>
  <si>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</si>
  <si>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</si>
  <si>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</si>
  <si>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</si>
  <si>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</si>
  <si>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</si>
  <si>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</si>
  <si>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</si>
  <si>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</si>
  <si>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</si>
  <si>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</si>
  <si>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</si>
  <si>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</si>
  <si>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</si>
  <si>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</si>
  <si>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</si>
  <si>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</si>
  <si>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</si>
  <si>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</si>
  <si>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</si>
  <si>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</si>
  <si>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</si>
  <si>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</si>
  <si>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</si>
  <si>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</si>
  <si>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</si>
  <si>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</si>
  <si>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</si>
  <si>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</si>
  <si>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</si>
  <si>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</si>
  <si>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</si>
  <si>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</si>
  <si>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</si>
  <si>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</si>
  <si>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</si>
  <si>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</si>
  <si>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</si>
  <si>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</si>
  <si>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</si>
  <si>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</si>
  <si>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</si>
  <si>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</si>
  <si>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</si>
  <si>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</si>
  <si>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</si>
  <si>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</si>
  <si>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</si>
  <si>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</si>
  <si>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</si>
  <si>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</si>
  <si>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</si>
  <si>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</si>
  <si>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</si>
  <si>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</si>
  <si>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</si>
  <si>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</si>
  <si>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</si>
  <si>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</si>
  <si>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</si>
  <si>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</si>
  <si>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</si>
  <si>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</si>
  <si>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</si>
  <si>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</si>
  <si>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</si>
  <si>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</si>
  <si>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</si>
  <si>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</si>
  <si>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</si>
  <si>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</si>
  <si>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</si>
  <si>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</si>
  <si>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</si>
  <si>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</si>
  <si>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</si>
  <si>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</si>
  <si>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</si>
  <si>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</si>
  <si>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</si>
  <si>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</si>
  <si>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</si>
  <si>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</si>
  <si>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</si>
  <si>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</si>
  <si>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</si>
  <si>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</si>
  <si>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</si>
  <si>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</si>
  <si>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</si>
  <si>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</si>
  <si>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</si>
  <si>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</si>
  <si>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</si>
  <si>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</si>
  <si>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</si>
  <si>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</si>
  <si>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</si>
  <si>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</si>
  <si>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</si>
  <si>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</si>
  <si>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</si>
  <si>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</si>
  <si>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</si>
  <si>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</si>
  <si>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</si>
  <si>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</si>
  <si>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</si>
  <si>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</si>
  <si>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</si>
  <si>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</si>
  <si>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</si>
  <si>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</si>
  <si>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</si>
  <si>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</si>
  <si>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</si>
  <si>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</si>
  <si>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</si>
  <si>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</si>
  <si>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</si>
  <si>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</si>
  <si>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</si>
  <si>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</si>
  <si>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</si>
  <si>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</si>
  <si>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</si>
  <si>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</si>
  <si>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</si>
  <si>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</si>
  <si>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</si>
  <si>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</si>
  <si>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</si>
  <si>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</si>
  <si>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</si>
  <si>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</si>
  <si>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</si>
  <si>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</si>
  <si>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</si>
  <si>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</si>
  <si>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</si>
  <si>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</si>
  <si>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</si>
  <si>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</si>
  <si>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</si>
  <si>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</si>
  <si>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</si>
  <si>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</si>
  <si>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</si>
  <si>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</si>
  <si>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</si>
  <si>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</si>
  <si>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</si>
  <si>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</si>
  <si>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</si>
  <si>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</si>
  <si>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</si>
  <si>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</si>
  <si>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</si>
  <si>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</si>
  <si>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</si>
  <si>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</si>
  <si>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</si>
  <si>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</si>
  <si>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</si>
  <si>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</si>
  <si>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</si>
  <si>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</si>
  <si>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</si>
  <si>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</si>
  <si>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</si>
  <si>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</si>
  <si>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</si>
  <si>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</si>
  <si>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</si>
  <si>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</si>
  <si>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</si>
  <si>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</si>
  <si>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</si>
  <si>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</si>
  <si>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</si>
  <si>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</si>
  <si>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</si>
  <si>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</si>
  <si>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</si>
  <si>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</si>
  <si>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</si>
  <si>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</si>
  <si>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</si>
  <si>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</si>
  <si>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</si>
  <si>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</si>
  <si>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</si>
  <si>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</si>
  <si>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</si>
  <si>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</si>
  <si>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</si>
  <si>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</si>
  <si>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</si>
  <si>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</si>
  <si>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</si>
  <si>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</si>
  <si>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</si>
  <si>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</si>
  <si>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</si>
  <si>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</si>
  <si>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</si>
  <si>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</si>
  <si>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</si>
  <si>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</si>
  <si>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</si>
  <si>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</si>
  <si>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</si>
  <si>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</si>
  <si>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</si>
  <si>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</si>
  <si>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</si>
  <si>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</si>
  <si>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</si>
  <si>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</si>
  <si>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</si>
  <si>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</si>
  <si>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</si>
  <si>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</si>
  <si>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</si>
  <si>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</si>
  <si>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</si>
  <si>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</si>
  <si>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</si>
  <si>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</si>
  <si>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</si>
  <si>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</si>
  <si>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</si>
  <si>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</si>
  <si>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</si>
  <si>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</si>
  <si>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</si>
  <si>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</si>
  <si>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</si>
  <si>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</si>
  <si>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</si>
  <si>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</si>
  <si>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</si>
  <si>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</si>
  <si>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</si>
  <si>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</si>
  <si>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</si>
  <si>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</si>
  <si>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</si>
  <si>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</si>
  <si>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</si>
  <si>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</si>
  <si>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</si>
  <si>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</si>
  <si>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</si>
  <si>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</si>
  <si>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</si>
  <si>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</si>
  <si>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</si>
  <si>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</si>
  <si>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</si>
  <si>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</si>
  <si>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</si>
  <si>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</si>
  <si>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</si>
  <si>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</si>
  <si>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</si>
  <si>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</si>
  <si>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</si>
  <si>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</si>
  <si>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</si>
  <si>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</si>
  <si>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</si>
  <si>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</si>
  <si>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</si>
  <si>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</si>
  <si>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</si>
  <si>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</si>
  <si>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</si>
  <si>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</si>
  <si>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</si>
  <si>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</si>
  <si>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</si>
  <si>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</si>
  <si>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</si>
  <si>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</si>
  <si>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</si>
  <si>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</si>
  <si>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</si>
  <si>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</si>
  <si>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</si>
  <si>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</si>
  <si>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</si>
  <si>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</si>
  <si>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</si>
  <si>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</si>
  <si>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</si>
  <si>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</si>
  <si>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</si>
  <si>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</si>
  <si>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</si>
  <si>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</si>
  <si>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</si>
  <si>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</si>
  <si>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</si>
  <si>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</si>
  <si>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</si>
  <si>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</si>
  <si>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</si>
  <si>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</si>
  <si>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</si>
  <si>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</si>
  <si>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</si>
  <si>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</si>
  <si>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</si>
  <si>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</si>
  <si>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</si>
  <si>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</si>
  <si>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</si>
  <si>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</si>
  <si>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</si>
  <si>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</si>
  <si>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</si>
  <si>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</si>
  <si>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</si>
  <si>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</si>
  <si>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</si>
  <si>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</si>
  <si>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</si>
  <si>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</si>
  <si>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</si>
  <si>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</si>
  <si>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</si>
  <si>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</si>
  <si>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</si>
  <si>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</si>
  <si>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</si>
  <si>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</si>
  <si>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</si>
  <si>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</si>
  <si>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</si>
  <si>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</si>
  <si>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</si>
  <si>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</si>
  <si>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</si>
  <si>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</si>
  <si>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</si>
  <si>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</si>
  <si>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</si>
  <si>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</si>
  <si>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</si>
  <si>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</si>
  <si>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</si>
  <si>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</si>
  <si>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</si>
  <si>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</si>
  <si>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</si>
  <si>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</si>
  <si>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</si>
  <si>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</si>
  <si>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</si>
  <si>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</si>
  <si>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</si>
  <si>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</si>
  <si>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</si>
  <si>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</si>
  <si>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</si>
  <si>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</si>
  <si>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</si>
  <si>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</si>
  <si>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</si>
  <si>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</si>
  <si>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</si>
  <si>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</si>
  <si>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</si>
  <si>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</si>
  <si>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</si>
  <si>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</si>
  <si>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</si>
  <si>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</si>
  <si>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</si>
  <si>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</si>
  <si>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</si>
  <si>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</si>
  <si>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</si>
  <si>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</si>
  <si>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</si>
  <si>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</si>
  <si>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</si>
  <si>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</si>
  <si>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</si>
  <si>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</si>
  <si>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</si>
  <si>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</si>
  <si>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</si>
  <si>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</si>
  <si>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</si>
  <si>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</si>
  <si>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</si>
  <si>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</si>
  <si>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</si>
  <si>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</si>
  <si>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</si>
  <si>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</si>
  <si>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</si>
  <si>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</si>
  <si>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</si>
  <si>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</si>
  <si>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</si>
  <si>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</si>
  <si>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</si>
  <si>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</si>
  <si>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</si>
  <si>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</si>
  <si>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</si>
  <si>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</si>
  <si>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</si>
  <si>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</si>
  <si>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</si>
  <si>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</si>
  <si>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</si>
  <si>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</si>
  <si>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</si>
  <si>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</si>
  <si>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</si>
  <si>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</si>
  <si>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</si>
  <si>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</si>
  <si>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</si>
  <si>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</si>
  <si>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</si>
  <si>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</si>
  <si>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</si>
  <si>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</si>
  <si>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</si>
  <si>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</si>
  <si>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</si>
  <si>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</si>
  <si>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</si>
  <si>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</si>
  <si>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</si>
  <si>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</si>
  <si>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</si>
  <si>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</si>
  <si>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</si>
  <si>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</si>
  <si>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</si>
  <si>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</si>
  <si>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</si>
  <si>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</si>
  <si>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</si>
  <si>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</si>
  <si>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</si>
  <si>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</si>
  <si>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</si>
  <si>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</si>
  <si>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</si>
  <si>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</si>
  <si>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</si>
  <si>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</si>
  <si>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</si>
  <si>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</si>
  <si>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</si>
  <si>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</si>
  <si>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</si>
  <si>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</si>
  <si>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</si>
  <si>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</si>
  <si>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</si>
  <si>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</si>
  <si>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</si>
  <si>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</si>
  <si>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</si>
  <si>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</si>
  <si>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</si>
  <si>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</si>
  <si>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</si>
  <si>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</si>
  <si>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</si>
  <si>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</si>
  <si>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</si>
  <si>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</si>
  <si>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</si>
  <si>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</si>
  <si>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</si>
  <si>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</si>
  <si>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</si>
  <si>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</si>
  <si>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</si>
  <si>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</si>
  <si>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</si>
  <si>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</si>
  <si>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</si>
  <si>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</si>
  <si>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</si>
  <si>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</si>
  <si>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</si>
  <si>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</si>
  <si>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</si>
  <si>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</si>
  <si>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</si>
  <si>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</si>
  <si>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</si>
  <si>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</si>
  <si>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</si>
  <si>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</si>
  <si>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</si>
  <si>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</si>
  <si>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</si>
  <si>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</si>
  <si>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</si>
  <si>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</si>
  <si>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</si>
  <si>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</si>
  <si>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</si>
  <si>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</si>
  <si>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</si>
  <si>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</si>
  <si>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</si>
  <si>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</si>
  <si>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</si>
  <si>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</si>
  <si>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</si>
  <si>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</si>
  <si>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</si>
  <si>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</si>
  <si>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</si>
  <si>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</si>
  <si>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</si>
  <si>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</si>
  <si>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</si>
  <si>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</si>
  <si>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</si>
  <si>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</si>
  <si>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</si>
  <si>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</si>
  <si>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</si>
  <si>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</si>
  <si>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</si>
  <si>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</si>
  <si>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</si>
  <si>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</si>
  <si>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</si>
  <si>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</si>
  <si>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</si>
  <si>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</si>
  <si>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</si>
  <si>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</si>
  <si>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</si>
  <si>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</si>
  <si>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</si>
  <si>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</si>
  <si>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</si>
  <si>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</si>
  <si>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</si>
  <si>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</si>
  <si>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</si>
  <si>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</si>
  <si>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</si>
  <si>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</si>
  <si>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</si>
  <si>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</si>
  <si>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</si>
  <si>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</si>
  <si>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</si>
  <si>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</si>
  <si>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</si>
  <si>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</si>
  <si>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</si>
  <si>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</si>
  <si>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</si>
  <si>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</si>
  <si>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</si>
  <si>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</si>
  <si>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</si>
  <si>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</si>
  <si>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</si>
  <si>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</si>
  <si>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</si>
  <si>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</si>
  <si>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</si>
  <si>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</si>
  <si>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</si>
  <si>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</si>
  <si>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</si>
  <si>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</si>
  <si>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</si>
  <si>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</si>
  <si>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</si>
  <si>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</si>
  <si>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</si>
  <si>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</si>
  <si>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</si>
  <si>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</si>
  <si>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</si>
  <si>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</si>
  <si>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</si>
  <si>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</si>
  <si>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</si>
  <si>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</si>
  <si>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</si>
  <si>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</si>
  <si>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</si>
  <si>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</si>
  <si>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</si>
  <si>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</si>
  <si>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</si>
  <si>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</si>
  <si>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</si>
  <si>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</si>
  <si>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</si>
  <si>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</si>
  <si>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</si>
  <si>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</si>
  <si>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</si>
  <si>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</si>
  <si>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</si>
  <si>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</si>
  <si>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</si>
  <si>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</si>
  <si>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</si>
  <si>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</si>
  <si>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</si>
  <si>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</si>
  <si>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</si>
  <si>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</si>
  <si>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</si>
  <si>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</si>
  <si>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</si>
  <si>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</si>
  <si>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</si>
  <si>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</si>
  <si>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</si>
  <si>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</si>
  <si>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</si>
  <si>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</si>
  <si>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</si>
  <si>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</si>
  <si>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</si>
  <si>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</si>
  <si>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</si>
  <si>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</si>
  <si>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</si>
  <si>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</si>
  <si>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</si>
  <si>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</si>
  <si>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</si>
  <si>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</si>
  <si>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</si>
  <si>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</si>
  <si>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</si>
  <si>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</si>
  <si>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</si>
  <si>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</si>
  <si>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</si>
  <si>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</si>
  <si>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</si>
  <si>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</si>
  <si>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</si>
  <si>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</si>
  <si>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</si>
  <si>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</si>
  <si>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</si>
  <si>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</si>
  <si>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</si>
  <si>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</si>
  <si>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</si>
  <si>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</si>
  <si>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</si>
  <si>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</si>
  <si>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</si>
  <si>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</si>
  <si>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</si>
  <si>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</si>
  <si>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</si>
  <si>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</si>
  <si>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</si>
  <si>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</si>
  <si>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</si>
  <si>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</si>
  <si>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</si>
  <si>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</si>
  <si>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</si>
  <si>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</si>
  <si>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</si>
  <si>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</si>
  <si>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</si>
  <si>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</si>
  <si>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</si>
  <si>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</si>
  <si>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</si>
  <si>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</si>
  <si>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</si>
  <si>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</si>
  <si>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</si>
  <si>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</si>
  <si>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</si>
  <si>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</si>
  <si>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</si>
  <si>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</si>
  <si>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</si>
  <si>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</si>
  <si>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</si>
  <si>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</si>
  <si>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</si>
  <si>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</si>
  <si>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</si>
  <si>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</si>
  <si>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</si>
  <si>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</si>
  <si>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</si>
  <si>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</si>
  <si>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</si>
  <si>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</si>
  <si>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</si>
  <si>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</si>
  <si>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</si>
  <si>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</si>
  <si>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</si>
  <si>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</si>
  <si>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</si>
  <si>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</si>
  <si>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</si>
  <si>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</si>
  <si>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</si>
  <si>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</si>
  <si>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</si>
  <si>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</si>
  <si>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</si>
  <si>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</si>
  <si>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</si>
  <si>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</si>
  <si>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</si>
  <si>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</si>
  <si>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</si>
  <si>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</si>
  <si>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</si>
  <si>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</si>
  <si>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</si>
  <si>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</si>
  <si>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</si>
  <si>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</si>
  <si>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</si>
  <si>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</si>
  <si>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</si>
  <si>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</si>
  <si>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</si>
  <si>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</si>
  <si>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</si>
  <si>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</si>
  <si>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</si>
  <si>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</si>
  <si>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</si>
  <si>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</si>
  <si>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</si>
  <si>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</si>
  <si>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</si>
  <si>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</si>
  <si>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</si>
  <si>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</si>
  <si>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</si>
  <si>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</si>
  <si>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</si>
  <si>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</si>
  <si>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</si>
  <si>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</si>
  <si>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</si>
  <si>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</si>
  <si>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</si>
  <si>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</si>
  <si>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</si>
  <si>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</si>
  <si>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</si>
  <si>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</si>
  <si>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</si>
  <si>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</si>
  <si>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</si>
  <si>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</si>
  <si>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</si>
  <si>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</si>
  <si>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</si>
  <si>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</si>
  <si>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</si>
  <si>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</si>
  <si>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</si>
  <si>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</si>
  <si>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</si>
  <si>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</si>
  <si>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</si>
  <si>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</si>
  <si>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</si>
  <si>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</si>
  <si>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</si>
  <si>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</si>
  <si>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</si>
  <si>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</si>
  <si>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</si>
  <si>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</si>
  <si>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</si>
  <si>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</si>
  <si>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</si>
  <si>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</si>
  <si>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</si>
  <si>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</si>
  <si>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</si>
  <si>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</si>
  <si>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</si>
  <si>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</si>
  <si>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</si>
  <si>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</si>
  <si>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</si>
  <si>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</si>
  <si>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</si>
  <si>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</si>
  <si>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</si>
  <si>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</si>
  <si>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</si>
  <si>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</si>
  <si>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</si>
  <si>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</si>
  <si>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</si>
  <si>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</si>
  <si>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</si>
  <si>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</si>
  <si>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</si>
  <si>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</si>
  <si>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</si>
  <si>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</si>
  <si>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</si>
  <si>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</si>
  <si>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</si>
  <si>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</si>
  <si>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</si>
  <si>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</si>
  <si>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</si>
  <si>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</si>
  <si>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</si>
  <si>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</si>
  <si>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</si>
  <si>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</si>
  <si>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</si>
  <si>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</si>
  <si>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</si>
  <si>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</si>
  <si>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</si>
  <si>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</si>
  <si>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</si>
  <si>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</si>
  <si>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</si>
  <si>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</si>
  <si>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</si>
  <si>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</si>
  <si>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</si>
  <si>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</si>
  <si>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</si>
  <si>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</si>
  <si>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</si>
  <si>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</si>
  <si>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</si>
  <si>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</si>
  <si>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</si>
  <si>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</si>
  <si>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</si>
  <si>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</si>
  <si>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</si>
  <si>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</si>
  <si>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</si>
  <si>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</si>
  <si>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</si>
  <si>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Attrition Count</t>
  </si>
  <si>
    <t>Average Age</t>
  </si>
  <si>
    <t>Active Employee</t>
  </si>
  <si>
    <t>Average of Job Satisfaction</t>
  </si>
  <si>
    <t>Rating</t>
  </si>
  <si>
    <t>Balance Rating</t>
  </si>
  <si>
    <t>Row Labels</t>
  </si>
  <si>
    <t>Grand Total</t>
  </si>
  <si>
    <t>Count of Employee Count</t>
  </si>
  <si>
    <t>Total Employee</t>
  </si>
  <si>
    <t>Count of Attrition</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</si>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</sst>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2"/>
      <color theme="1"/>
      <name val="Calibri"/>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0" xfId="0" applyFont="1"/>
    <xf numFmtId="164"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1" fontId="0" fillId="0" borderId="0" xfId="0" applyNumberFormat="1"/>
    <xf numFmtId="10" fontId="0" fillId="0" borderId="0" xfId="1" applyNumberFormat="1" applyFont="1"/>
  </cellXfs>
  <cellStyles count="2">
    <cellStyle name="Normal" xfId="0" builtinId="0"/>
    <cellStyle name="Percent" xfId="1" builtinId="5"/>
  </cellStyles>
  <dxfs count="7">
    <dxf>
      <numFmt numFmtId="164" formatCode="0.0"/>
    </dxf>
    <dxf>
      <fill>
        <gradientFill degree="90">
          <stop position="0">
            <color rgb="FF800000"/>
          </stop>
          <stop position="1">
            <color theme="5" tint="0.40000610370189521"/>
          </stop>
        </gradientFill>
      </fill>
    </dxf>
    <dxf>
      <fill>
        <gradientFill degree="90">
          <stop position="0">
            <color rgb="FF800000"/>
          </stop>
          <stop position="1">
            <color theme="5" tint="0.40000610370189521"/>
          </stop>
        </gradientFill>
      </fill>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8" defaultTableStyle="TableStyleMedium2" defaultPivotStyle="PivotStyleLight16">
    <tableStyle name="Data-style" pivot="0" count="3" xr9:uid="{73DBB44E-F853-43B8-B1E5-37F998C24A95}">
      <tableStyleElement type="headerRow" dxfId="6"/>
      <tableStyleElement type="firstRowStripe" dxfId="5"/>
      <tableStyleElement type="secondRowStripe" dxfId="4"/>
    </tableStyle>
    <tableStyle name="Slicer " pivot="0" table="0" count="0" xr9:uid="{4B31C6D5-B01C-4F97-8ACB-B72A7DBBF083}"/>
    <tableStyle name="Slicer 2" pivot="0" table="0" count="3" xr9:uid="{39884549-76FC-407F-BC07-3E7976DEC375}">
      <tableStyleElement type="wholeTable" dxfId="3"/>
    </tableStyle>
    <tableStyle name="Slicer Style 1" pivot="0" table="0" count="1" xr9:uid="{662D5A54-521A-4ADA-9DCB-1EE844DE5285}"/>
    <tableStyle name="Slicer Style 2" pivot="0" table="0" count="1" xr9:uid="{0012334B-8A1C-4DB1-A15A-7D2E96E4752A}">
      <tableStyleElement type="headerRow" dxfId="2"/>
    </tableStyle>
    <tableStyle name="Slicer Style 3" pivot="0" table="0" count="1" xr9:uid="{4F9B3745-5C92-485E-954B-B65BA4ADD71B}"/>
    <tableStyle name="Slicer1" pivot="0" table="0" count="1" xr9:uid="{975A77C0-4E7B-45B8-BA72-C62CC59C4F75}"/>
    <tableStyle name="Slicer5" pivot="0" table="0" count="1" xr9:uid="{7CC2EBA3-11CD-44A9-84FE-174D5796345B}">
      <tableStyleElement type="wholeTable" dxfId="1"/>
    </tableStyle>
  </tableStyles>
  <colors>
    <mruColors>
      <color rgb="FF800000"/>
      <color rgb="FF339933"/>
      <color rgb="FF006600"/>
      <color rgb="FF5ABF49"/>
      <color rgb="FF00CC00"/>
      <color rgb="FFAD4F0F"/>
      <color rgb="FF863D0C"/>
      <color rgb="FFB09086"/>
      <color rgb="FF8B0E0B"/>
      <color rgb="FF080C36"/>
    </mruColors>
  </colors>
  <extLst>
    <ext xmlns:x14="http://schemas.microsoft.com/office/spreadsheetml/2009/9/main" uri="{46F421CA-312F-682f-3DD2-61675219B42D}">
      <x14:dxfs count="5">
        <dxf>
          <fill>
            <gradientFill degree="90">
              <stop position="0">
                <color rgb="FF006600"/>
              </stop>
              <stop position="1">
                <color rgb="FF339933"/>
              </stop>
            </gradientFill>
          </fill>
        </dxf>
        <dxf>
          <fill>
            <patternFill>
              <bgColor theme="1"/>
            </patternFill>
          </fill>
        </dxf>
        <dxf>
          <font>
            <name val="Calibri"/>
            <family val="2"/>
            <scheme val="minor"/>
          </font>
          <fill>
            <patternFill>
              <bgColor rgb="FF00CC00"/>
            </patternFill>
          </fill>
        </dxf>
        <dxf>
          <fill>
            <gradientFill degree="90">
              <stop position="0">
                <color rgb="FF800000"/>
              </stop>
              <stop position="1">
                <color theme="5" tint="0.40000610370189521"/>
              </stop>
            </gradientFill>
          </fill>
        </dxf>
        <dxf>
          <font>
            <name val="Calibri"/>
            <family val="2"/>
            <scheme val="minor"/>
          </font>
          <fill>
            <gradientFill degree="90">
              <stop position="0">
                <color rgb="FF800000"/>
              </stop>
              <stop position="1">
                <color theme="5" tint="0.40000610370189521"/>
              </stop>
            </gradientFill>
          </fill>
        </dxf>
      </x14:dxfs>
    </ext>
    <ext xmlns:x14="http://schemas.microsoft.com/office/spreadsheetml/2009/9/main" uri="{EB79DEF2-80B8-43e5-95BD-54CBDDF9020C}">
      <x14:slicerStyles defaultSlicerStyle="SlicerStyleLight1">
        <x14:slicerStyle name="Slicer "/>
        <x14:slicerStyle name="Slicer 2">
          <x14:slicerStyleElements>
            <x14:slicerStyleElement type="selectedItemWithData" dxfId="4"/>
            <x14:slicerStyleElement type="selectedItemWithNoData" dxfId="3"/>
          </x14:slicerStyleElements>
        </x14:slicerStyle>
        <x14:slicerStyle name="Slicer Style 1">
          <x14:slicerStyleElements>
            <x14:slicerStyleElement type="selectedItemWithData" dxfId="2"/>
          </x14:slicerStyleElements>
        </x14:slicerStyle>
        <x14:slicerStyle name="Slicer Style 2"/>
        <x14:slicerStyle name="Slicer Style 3">
          <x14:slicerStyleElements>
            <x14:slicerStyleElement type="unselectedItemWithNoData" dxfId="1"/>
          </x14:slicerStyleElements>
        </x14:slicerStyle>
        <x14:slicerStyle name="Slicer1">
          <x14:slicerStyleElements>
            <x14:slicerStyleElement type="selectedItemWithData" dxfId="0"/>
          </x14:slicerStyleElements>
        </x14:slicerStyle>
        <x14:slicerStyle name="Slicer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AE-40AA-9AB8-B5655792E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AE-40AA-9AB8-B5655792E32B}"/>
              </c:ext>
            </c:extLst>
          </c:dPt>
          <c:val>
            <c:numRef>
              <c:f>Gender!$B$10:$B$11</c:f>
              <c:numCache>
                <c:formatCode>General</c:formatCode>
                <c:ptCount val="2"/>
                <c:pt idx="0">
                  <c:v>588</c:v>
                </c:pt>
                <c:pt idx="1">
                  <c:v>882</c:v>
                </c:pt>
              </c:numCache>
            </c:numRef>
          </c:val>
          <c:extLst>
            <c:ext xmlns:c16="http://schemas.microsoft.com/office/drawing/2014/chart" uri="{C3380CC4-5D6E-409C-BE32-E72D297353CC}">
              <c16:uniqueId val="{00000000-F6DD-43B5-BF0A-52E16F1580C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2.5867346938775508</c:v>
                </c:pt>
              </c:numCache>
            </c:numRef>
          </c:val>
          <c:extLst>
            <c:ext xmlns:c16="http://schemas.microsoft.com/office/drawing/2014/chart" uri="{C3380CC4-5D6E-409C-BE32-E72D297353CC}">
              <c16:uniqueId val="{00000000-0517-47B3-AC97-8F1BFC6FED0A}"/>
            </c:ext>
          </c:extLst>
        </c:ser>
        <c:ser>
          <c:idx val="1"/>
          <c:order val="1"/>
          <c:spPr>
            <a:solidFill>
              <a:schemeClr val="accent2"/>
            </a:solidFill>
            <a:ln>
              <a:noFill/>
            </a:ln>
            <a:effectLst/>
          </c:spPr>
          <c:invertIfNegative val="0"/>
          <c:val>
            <c:numRef>
              <c:f>Rating!$B$7</c:f>
              <c:numCache>
                <c:formatCode>0.0</c:formatCode>
                <c:ptCount val="1"/>
                <c:pt idx="0">
                  <c:v>1.4132653061224492</c:v>
                </c:pt>
              </c:numCache>
            </c:numRef>
          </c:val>
          <c:extLst>
            <c:ext xmlns:c16="http://schemas.microsoft.com/office/drawing/2014/chart" uri="{C3380CC4-5D6E-409C-BE32-E72D297353CC}">
              <c16:uniqueId val="{00000001-0517-47B3-AC97-8F1BFC6FED0A}"/>
            </c:ext>
          </c:extLst>
        </c:ser>
        <c:dLbls>
          <c:showLegendKey val="0"/>
          <c:showVal val="0"/>
          <c:showCatName val="0"/>
          <c:showSerName val="0"/>
          <c:showPercent val="0"/>
          <c:showBubbleSize val="0"/>
        </c:dLbls>
        <c:gapWidth val="0"/>
        <c:overlap val="100"/>
        <c:axId val="896975200"/>
        <c:axId val="896978560"/>
      </c:barChart>
      <c:catAx>
        <c:axId val="896975200"/>
        <c:scaling>
          <c:orientation val="minMax"/>
        </c:scaling>
        <c:delete val="1"/>
        <c:axPos val="l"/>
        <c:majorTickMark val="out"/>
        <c:minorTickMark val="none"/>
        <c:tickLblPos val="nextTo"/>
        <c:crossAx val="896978560"/>
        <c:crosses val="autoZero"/>
        <c:auto val="1"/>
        <c:lblAlgn val="ctr"/>
        <c:lblOffset val="100"/>
        <c:noMultiLvlLbl val="0"/>
      </c:catAx>
      <c:valAx>
        <c:axId val="896978560"/>
        <c:scaling>
          <c:orientation val="minMax"/>
          <c:max val="4"/>
        </c:scaling>
        <c:delete val="1"/>
        <c:axPos val="b"/>
        <c:numFmt formatCode="0.0" sourceLinked="1"/>
        <c:majorTickMark val="out"/>
        <c:minorTickMark val="none"/>
        <c:tickLblPos val="nextTo"/>
        <c:crossAx val="89697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41-4311-A668-B0990698F7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1-4311-A668-B0990698F790}"/>
              </c:ext>
            </c:extLst>
          </c:dPt>
          <c:val>
            <c:numRef>
              <c:f>Rating!$D$6:$D$7</c:f>
              <c:numCache>
                <c:formatCode>General</c:formatCode>
                <c:ptCount val="2"/>
                <c:pt idx="0">
                  <c:v>0.64668367346938771</c:v>
                </c:pt>
                <c:pt idx="1">
                  <c:v>0.35331632653061229</c:v>
                </c:pt>
              </c:numCache>
            </c:numRef>
          </c:val>
          <c:extLst>
            <c:ext xmlns:c16="http://schemas.microsoft.com/office/drawing/2014/chart" uri="{C3380CC4-5D6E-409C-BE32-E72D297353CC}">
              <c16:uniqueId val="{00000000-7A70-4FC3-A208-3C9A0F8B0EE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 Dashboard_and_Data.xlsx]Education by Attrition !PivotTable7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'!$A$4:$A$9</c:f>
              <c:strCache>
                <c:ptCount val="5"/>
                <c:pt idx="0">
                  <c:v>Doctoral Degree</c:v>
                </c:pt>
                <c:pt idx="1">
                  <c:v>High School</c:v>
                </c:pt>
                <c:pt idx="2">
                  <c:v>Associates Degree</c:v>
                </c:pt>
                <c:pt idx="3">
                  <c:v>Master's Degree</c:v>
                </c:pt>
                <c:pt idx="4">
                  <c:v>Bachelor's Degree</c:v>
                </c:pt>
              </c:strCache>
            </c:strRef>
          </c:cat>
          <c:val>
            <c:numRef>
              <c:f>'Education by Attrition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8C6-4E00-8BB4-36B0C3F126E0}"/>
            </c:ext>
          </c:extLst>
        </c:ser>
        <c:dLbls>
          <c:dLblPos val="outEnd"/>
          <c:showLegendKey val="0"/>
          <c:showVal val="1"/>
          <c:showCatName val="0"/>
          <c:showSerName val="0"/>
          <c:showPercent val="0"/>
          <c:showBubbleSize val="0"/>
        </c:dLbls>
        <c:gapWidth val="182"/>
        <c:axId val="945935216"/>
        <c:axId val="945934256"/>
      </c:barChart>
      <c:catAx>
        <c:axId val="945935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34256"/>
        <c:crosses val="autoZero"/>
        <c:auto val="1"/>
        <c:lblAlgn val="ctr"/>
        <c:lblOffset val="100"/>
        <c:noMultiLvlLbl val="0"/>
      </c:catAx>
      <c:valAx>
        <c:axId val="945934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3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 Dashboard_and_Data.xlsx]Department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62-4E2C-97F1-AE31126B89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62-4E2C-97F1-AE31126B89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62-4E2C-97F1-AE31126B89E9}"/>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112-479C-B2AF-E0626A0F0EC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 Dashboard_and_Data.xlsx]Attrition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F91-4C9F-8C91-05E0EF2AE5AD}"/>
            </c:ext>
          </c:extLst>
        </c:ser>
        <c:dLbls>
          <c:showLegendKey val="0"/>
          <c:showVal val="0"/>
          <c:showCatName val="0"/>
          <c:showSerName val="0"/>
          <c:showPercent val="0"/>
          <c:showBubbleSize val="0"/>
        </c:dLbls>
        <c:gapWidth val="219"/>
        <c:overlap val="-27"/>
        <c:axId val="968944640"/>
        <c:axId val="968947520"/>
      </c:barChart>
      <c:catAx>
        <c:axId val="9689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47520"/>
        <c:crosses val="autoZero"/>
        <c:auto val="1"/>
        <c:lblAlgn val="ctr"/>
        <c:lblOffset val="100"/>
        <c:noMultiLvlLbl val="0"/>
      </c:catAx>
      <c:valAx>
        <c:axId val="96894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F806-4193-9D6A-7E91E394C01A}"/>
              </c:ext>
            </c:extLst>
          </c:dPt>
          <c:dPt>
            <c:idx val="1"/>
            <c:bubble3D val="0"/>
            <c:spPr>
              <a:solidFill>
                <a:schemeClr val="bg1">
                  <a:lumMod val="85000"/>
                  <a:alpha val="95000"/>
                </a:schemeClr>
              </a:solidFill>
              <a:ln w="19050">
                <a:solidFill>
                  <a:schemeClr val="lt1"/>
                </a:solidFill>
              </a:ln>
              <a:effectLst/>
            </c:spPr>
            <c:extLst>
              <c:ext xmlns:c16="http://schemas.microsoft.com/office/drawing/2014/chart" uri="{C3380CC4-5D6E-409C-BE32-E72D297353CC}">
                <c16:uniqueId val="{00000003-F806-4193-9D6A-7E91E394C01A}"/>
              </c:ext>
            </c:extLst>
          </c:dPt>
          <c:val>
            <c:numRef>
              <c:f>Rating!$D$6:$D$7</c:f>
              <c:numCache>
                <c:formatCode>General</c:formatCode>
                <c:ptCount val="2"/>
                <c:pt idx="0">
                  <c:v>0.64668367346938771</c:v>
                </c:pt>
                <c:pt idx="1">
                  <c:v>0.35331632653061229</c:v>
                </c:pt>
              </c:numCache>
            </c:numRef>
          </c:val>
          <c:extLst>
            <c:ext xmlns:c16="http://schemas.microsoft.com/office/drawing/2014/chart" uri="{C3380CC4-5D6E-409C-BE32-E72D297353CC}">
              <c16:uniqueId val="{00000004-F806-4193-9D6A-7E91E394C01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863D0C"/>
              </a:solidFill>
              <a:ln>
                <a:noFill/>
              </a:ln>
              <a:effectLst/>
            </c:spPr>
            <c:extLst>
              <c:ext xmlns:c16="http://schemas.microsoft.com/office/drawing/2014/chart" uri="{C3380CC4-5D6E-409C-BE32-E72D297353CC}">
                <c16:uniqueId val="{00000000-0AC2-4862-A004-C56A929161F5}"/>
              </c:ext>
            </c:extLst>
          </c:dPt>
          <c:val>
            <c:numRef>
              <c:f>Rating!$B$6</c:f>
              <c:numCache>
                <c:formatCode>0.0</c:formatCode>
                <c:ptCount val="1"/>
                <c:pt idx="0">
                  <c:v>2.5867346938775508</c:v>
                </c:pt>
              </c:numCache>
            </c:numRef>
          </c:val>
          <c:extLst>
            <c:ext xmlns:c16="http://schemas.microsoft.com/office/drawing/2014/chart" uri="{C3380CC4-5D6E-409C-BE32-E72D297353CC}">
              <c16:uniqueId val="{00000000-2CEE-4240-A9DD-E416924F69DA}"/>
            </c:ext>
          </c:extLst>
        </c:ser>
        <c:ser>
          <c:idx val="1"/>
          <c:order val="1"/>
          <c:spPr>
            <a:solidFill>
              <a:schemeClr val="bg1">
                <a:lumMod val="95000"/>
              </a:schemeClr>
            </a:solidFill>
            <a:ln>
              <a:noFill/>
            </a:ln>
            <a:effectLst/>
          </c:spPr>
          <c:invertIfNegative val="0"/>
          <c:val>
            <c:numRef>
              <c:f>Rating!$B$7</c:f>
              <c:numCache>
                <c:formatCode>0.0</c:formatCode>
                <c:ptCount val="1"/>
                <c:pt idx="0">
                  <c:v>1.4132653061224492</c:v>
                </c:pt>
              </c:numCache>
            </c:numRef>
          </c:val>
          <c:extLst>
            <c:ext xmlns:c16="http://schemas.microsoft.com/office/drawing/2014/chart" uri="{C3380CC4-5D6E-409C-BE32-E72D297353CC}">
              <c16:uniqueId val="{00000001-2CEE-4240-A9DD-E416924F69DA}"/>
            </c:ext>
          </c:extLst>
        </c:ser>
        <c:dLbls>
          <c:showLegendKey val="0"/>
          <c:showVal val="0"/>
          <c:showCatName val="0"/>
          <c:showSerName val="0"/>
          <c:showPercent val="0"/>
          <c:showBubbleSize val="0"/>
        </c:dLbls>
        <c:gapWidth val="0"/>
        <c:overlap val="100"/>
        <c:axId val="896975200"/>
        <c:axId val="896978560"/>
      </c:barChart>
      <c:catAx>
        <c:axId val="896975200"/>
        <c:scaling>
          <c:orientation val="minMax"/>
        </c:scaling>
        <c:delete val="1"/>
        <c:axPos val="l"/>
        <c:majorTickMark val="out"/>
        <c:minorTickMark val="none"/>
        <c:tickLblPos val="nextTo"/>
        <c:crossAx val="896978560"/>
        <c:crosses val="autoZero"/>
        <c:auto val="1"/>
        <c:lblAlgn val="ctr"/>
        <c:lblOffset val="100"/>
        <c:noMultiLvlLbl val="0"/>
      </c:catAx>
      <c:valAx>
        <c:axId val="896978560"/>
        <c:scaling>
          <c:orientation val="minMax"/>
          <c:max val="4"/>
        </c:scaling>
        <c:delete val="1"/>
        <c:axPos val="b"/>
        <c:numFmt formatCode="0.0" sourceLinked="1"/>
        <c:majorTickMark val="out"/>
        <c:minorTickMark val="none"/>
        <c:tickLblPos val="nextTo"/>
        <c:crossAx val="89697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268292682926828"/>
          <c:y val="8.0459770114942528E-2"/>
          <c:w val="0.52845528455284552"/>
          <c:h val="0.74712643678160917"/>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 Dashboard_and_Data.xlsx]Education by Attrition !PivotTable7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2C441C"/>
              </a:gs>
              <a:gs pos="100000">
                <a:srgbClr val="3BDD2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'!$B$3</c:f>
              <c:strCache>
                <c:ptCount val="1"/>
                <c:pt idx="0">
                  <c:v>Total</c:v>
                </c:pt>
              </c:strCache>
            </c:strRef>
          </c:tx>
          <c:spPr>
            <a:gradFill>
              <a:gsLst>
                <a:gs pos="0">
                  <a:srgbClr val="2C441C"/>
                </a:gs>
                <a:gs pos="100000">
                  <a:srgbClr val="3BDD2F"/>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'!$A$4:$A$9</c:f>
              <c:strCache>
                <c:ptCount val="5"/>
                <c:pt idx="0">
                  <c:v>Doctoral Degree</c:v>
                </c:pt>
                <c:pt idx="1">
                  <c:v>High School</c:v>
                </c:pt>
                <c:pt idx="2">
                  <c:v>Associates Degree</c:v>
                </c:pt>
                <c:pt idx="3">
                  <c:v>Master's Degree</c:v>
                </c:pt>
                <c:pt idx="4">
                  <c:v>Bachelor's Degree</c:v>
                </c:pt>
              </c:strCache>
            </c:strRef>
          </c:cat>
          <c:val>
            <c:numRef>
              <c:f>'Education by Attrition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857-4BCA-ABCB-A136C3703DDB}"/>
            </c:ext>
          </c:extLst>
        </c:ser>
        <c:dLbls>
          <c:dLblPos val="outEnd"/>
          <c:showLegendKey val="0"/>
          <c:showVal val="1"/>
          <c:showCatName val="0"/>
          <c:showSerName val="0"/>
          <c:showPercent val="0"/>
          <c:showBubbleSize val="0"/>
        </c:dLbls>
        <c:gapWidth val="75"/>
        <c:axId val="945935216"/>
        <c:axId val="945934256"/>
      </c:barChart>
      <c:catAx>
        <c:axId val="945935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45934256"/>
        <c:crosses val="autoZero"/>
        <c:auto val="1"/>
        <c:lblAlgn val="ctr"/>
        <c:lblOffset val="100"/>
        <c:noMultiLvlLbl val="0"/>
      </c:catAx>
      <c:valAx>
        <c:axId val="945934256"/>
        <c:scaling>
          <c:orientation val="minMax"/>
        </c:scaling>
        <c:delete val="1"/>
        <c:axPos val="b"/>
        <c:numFmt formatCode="General" sourceLinked="1"/>
        <c:majorTickMark val="out"/>
        <c:minorTickMark val="none"/>
        <c:tickLblPos val="nextTo"/>
        <c:crossAx val="94593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 Dashboard_and_Data.xlsx]Department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0B7765"/>
              </a:gs>
              <a:gs pos="100000">
                <a:srgbClr val="66BFF0"/>
              </a:gs>
            </a:gsLst>
            <a:lin ang="10800000" scaled="0"/>
          </a:gradFill>
          <a:ln w="19050">
            <a:solidFill>
              <a:schemeClr val="lt1"/>
            </a:solidFill>
          </a:ln>
          <a:effectLst/>
        </c:spPr>
      </c:pivotFmt>
      <c:pivotFmt>
        <c:idx val="7"/>
        <c:spPr>
          <a:gradFill>
            <a:gsLst>
              <a:gs pos="0">
                <a:srgbClr val="105186"/>
              </a:gs>
              <a:gs pos="100000">
                <a:srgbClr val="080C36"/>
              </a:gs>
            </a:gsLst>
            <a:lin ang="10800000" scaled="0"/>
          </a:gradFill>
          <a:ln w="19050">
            <a:solidFill>
              <a:schemeClr val="lt1"/>
            </a:solidFill>
          </a:ln>
          <a:effectLst/>
        </c:spPr>
      </c:pivotFmt>
      <c:pivotFmt>
        <c:idx val="8"/>
        <c:spPr>
          <a:gradFill>
            <a:gsLst>
              <a:gs pos="0">
                <a:srgbClr val="8B0E0B"/>
              </a:gs>
              <a:gs pos="100000">
                <a:srgbClr val="B09086"/>
              </a:gs>
            </a:gsLst>
            <a:lin ang="1080000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gradFill>
                <a:gsLst>
                  <a:gs pos="0">
                    <a:srgbClr val="0B7765"/>
                  </a:gs>
                  <a:gs pos="100000">
                    <a:srgbClr val="66BFF0"/>
                  </a:gs>
                </a:gsLst>
                <a:lin ang="10800000" scaled="0"/>
              </a:gradFill>
              <a:ln w="19050">
                <a:solidFill>
                  <a:schemeClr val="lt1"/>
                </a:solidFill>
              </a:ln>
              <a:effectLst/>
            </c:spPr>
            <c:extLst>
              <c:ext xmlns:c16="http://schemas.microsoft.com/office/drawing/2014/chart" uri="{C3380CC4-5D6E-409C-BE32-E72D297353CC}">
                <c16:uniqueId val="{00000001-B8E9-4F21-89DF-BF9D61FA38CC}"/>
              </c:ext>
            </c:extLst>
          </c:dPt>
          <c:dPt>
            <c:idx val="1"/>
            <c:bubble3D val="0"/>
            <c:spPr>
              <a:gradFill>
                <a:gsLst>
                  <a:gs pos="0">
                    <a:srgbClr val="105186"/>
                  </a:gs>
                  <a:gs pos="100000">
                    <a:srgbClr val="080C36"/>
                  </a:gs>
                </a:gsLst>
                <a:lin ang="10800000" scaled="0"/>
              </a:gradFill>
              <a:ln w="19050">
                <a:solidFill>
                  <a:schemeClr val="lt1"/>
                </a:solidFill>
              </a:ln>
              <a:effectLst/>
            </c:spPr>
            <c:extLst>
              <c:ext xmlns:c16="http://schemas.microsoft.com/office/drawing/2014/chart" uri="{C3380CC4-5D6E-409C-BE32-E72D297353CC}">
                <c16:uniqueId val="{00000003-B8E9-4F21-89DF-BF9D61FA38CC}"/>
              </c:ext>
            </c:extLst>
          </c:dPt>
          <c:dPt>
            <c:idx val="2"/>
            <c:bubble3D val="0"/>
            <c:spPr>
              <a:gradFill>
                <a:gsLst>
                  <a:gs pos="0">
                    <a:srgbClr val="8B0E0B"/>
                  </a:gs>
                  <a:gs pos="100000">
                    <a:srgbClr val="B09086"/>
                  </a:gs>
                </a:gsLst>
                <a:lin ang="10800000" scaled="0"/>
              </a:gradFill>
              <a:ln w="19050">
                <a:solidFill>
                  <a:schemeClr val="lt1"/>
                </a:solidFill>
              </a:ln>
              <a:effectLst/>
            </c:spPr>
            <c:extLst>
              <c:ext xmlns:c16="http://schemas.microsoft.com/office/drawing/2014/chart" uri="{C3380CC4-5D6E-409C-BE32-E72D297353CC}">
                <c16:uniqueId val="{00000005-B8E9-4F21-89DF-BF9D61FA38C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B8E9-4F21-89DF-BF9D61FA38C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85054E"/>
                  </a:gs>
                  <a:gs pos="100000">
                    <a:srgbClr val="F84E9F"/>
                  </a:gs>
                </a:gsLst>
                <a:lin ang="5400000" scaled="1"/>
              </a:gradFill>
              <a:ln w="19050">
                <a:noFill/>
              </a:ln>
              <a:effectLst/>
            </c:spPr>
            <c:extLst>
              <c:ext xmlns:c16="http://schemas.microsoft.com/office/drawing/2014/chart" uri="{C3380CC4-5D6E-409C-BE32-E72D297353CC}">
                <c16:uniqueId val="{00000001-76CA-4047-97EC-FD21FC004993}"/>
              </c:ext>
            </c:extLst>
          </c:dPt>
          <c:dPt>
            <c:idx val="1"/>
            <c:bubble3D val="0"/>
            <c:spPr>
              <a:gradFill>
                <a:gsLst>
                  <a:gs pos="0">
                    <a:schemeClr val="bg1">
                      <a:lumMod val="7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76CA-4047-97EC-FD21FC004993}"/>
              </c:ext>
            </c:extLst>
          </c:dPt>
          <c:val>
            <c:numRef>
              <c:f>Gender!$B$10:$B$11</c:f>
              <c:numCache>
                <c:formatCode>General</c:formatCode>
                <c:ptCount val="2"/>
                <c:pt idx="0">
                  <c:v>588</c:v>
                </c:pt>
                <c:pt idx="1">
                  <c:v>882</c:v>
                </c:pt>
              </c:numCache>
            </c:numRef>
          </c:val>
          <c:extLst>
            <c:ext xmlns:c16="http://schemas.microsoft.com/office/drawing/2014/chart" uri="{C3380CC4-5D6E-409C-BE32-E72D297353CC}">
              <c16:uniqueId val="{00000004-76CA-4047-97EC-FD21FC00499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7348-4D23-95F3-6DA0C283F7D3}"/>
              </c:ext>
            </c:extLst>
          </c:dPt>
          <c:dPt>
            <c:idx val="1"/>
            <c:bubble3D val="0"/>
            <c:spPr>
              <a:gradFill>
                <a:gsLst>
                  <a:gs pos="0">
                    <a:srgbClr val="105186"/>
                  </a:gs>
                  <a:gs pos="100000">
                    <a:srgbClr val="3760AB"/>
                  </a:gs>
                </a:gsLst>
                <a:lin ang="5400000" scaled="1"/>
              </a:gradFill>
              <a:ln w="19050">
                <a:noFill/>
              </a:ln>
              <a:effectLst/>
            </c:spPr>
            <c:extLst>
              <c:ext xmlns:c16="http://schemas.microsoft.com/office/drawing/2014/chart" uri="{C3380CC4-5D6E-409C-BE32-E72D297353CC}">
                <c16:uniqueId val="{00000003-7348-4D23-95F3-6DA0C283F7D3}"/>
              </c:ext>
            </c:extLst>
          </c:dPt>
          <c:val>
            <c:numRef>
              <c:f>Gender!$B$10:$B$11</c:f>
              <c:numCache>
                <c:formatCode>General</c:formatCode>
                <c:ptCount val="2"/>
                <c:pt idx="0">
                  <c:v>588</c:v>
                </c:pt>
                <c:pt idx="1">
                  <c:v>882</c:v>
                </c:pt>
              </c:numCache>
            </c:numRef>
          </c:val>
          <c:extLst>
            <c:ext xmlns:c16="http://schemas.microsoft.com/office/drawing/2014/chart" uri="{C3380CC4-5D6E-409C-BE32-E72D297353CC}">
              <c16:uniqueId val="{00000004-7348-4D23-95F3-6DA0C283F7D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 Dashboard_and_Data.xlsx]Attrition by Age!Attrition by Age</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63D0C"/>
              </a:gs>
              <a:gs pos="100000">
                <a:srgbClr val="ED833B"/>
              </a:gs>
            </a:gsLst>
            <a:lin ang="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863D0C"/>
              </a:gs>
              <a:gs pos="100000">
                <a:srgbClr val="ED833B"/>
              </a:gs>
            </a:gsLst>
            <a:lin ang="0" scaled="0"/>
            <a:tileRect/>
          </a:gradFill>
          <a:ln>
            <a:noFill/>
          </a:ln>
          <a:effectLst/>
        </c:spPr>
      </c:pivotFmt>
    </c:pivotFmts>
    <c:plotArea>
      <c:layout>
        <c:manualLayout>
          <c:layoutTarget val="inner"/>
          <c:xMode val="edge"/>
          <c:yMode val="edge"/>
          <c:x val="0.13649154511423778"/>
          <c:y val="9.2432120161756212E-2"/>
          <c:w val="0.86350845488576222"/>
          <c:h val="0.80243635056883056"/>
        </c:manualLayout>
      </c:layout>
      <c:barChart>
        <c:barDir val="col"/>
        <c:grouping val="clustered"/>
        <c:varyColors val="0"/>
        <c:ser>
          <c:idx val="0"/>
          <c:order val="0"/>
          <c:tx>
            <c:strRef>
              <c:f>'Attrition by Age'!$B$3</c:f>
              <c:strCache>
                <c:ptCount val="1"/>
                <c:pt idx="0">
                  <c:v>Total</c:v>
                </c:pt>
              </c:strCache>
            </c:strRef>
          </c:tx>
          <c:spPr>
            <a:gradFill flip="none" rotWithShape="1">
              <a:gsLst>
                <a:gs pos="0">
                  <a:srgbClr val="863D0C"/>
                </a:gs>
                <a:gs pos="100000">
                  <a:srgbClr val="ED833B"/>
                </a:gs>
              </a:gsLst>
              <a:lin ang="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EA5-42D1-BE7A-4D0B6B7B01C3}"/>
            </c:ext>
          </c:extLst>
        </c:ser>
        <c:dLbls>
          <c:dLblPos val="outEnd"/>
          <c:showLegendKey val="0"/>
          <c:showVal val="1"/>
          <c:showCatName val="0"/>
          <c:showSerName val="0"/>
          <c:showPercent val="0"/>
          <c:showBubbleSize val="0"/>
        </c:dLbls>
        <c:gapWidth val="75"/>
        <c:axId val="968944640"/>
        <c:axId val="968947520"/>
      </c:barChart>
      <c:catAx>
        <c:axId val="9689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68947520"/>
        <c:crosses val="autoZero"/>
        <c:auto val="1"/>
        <c:lblAlgn val="ctr"/>
        <c:lblOffset val="100"/>
        <c:noMultiLvlLbl val="0"/>
      </c:catAx>
      <c:valAx>
        <c:axId val="968947520"/>
        <c:scaling>
          <c:orientation val="minMax"/>
        </c:scaling>
        <c:delete val="1"/>
        <c:axPos val="l"/>
        <c:numFmt formatCode="General" sourceLinked="1"/>
        <c:majorTickMark val="none"/>
        <c:minorTickMark val="none"/>
        <c:tickLblPos val="nextTo"/>
        <c:crossAx val="9689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C433C991-56EB-491D-9594-DDA61B638EB3}">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0E493FD-9A9C-47D4-AC0E-B928EBAC1B9C}">
          <cx:tx>
            <cx:txData>
              <cx:f>_xlchart.v2.4</cx:f>
              <cx:v>Attrition</cx:v>
            </cx:txData>
          </cx:tx>
          <cx:dataLabels>
            <cx:visibility seriesName="0" categoryName="0" value="1"/>
          </cx:dataLabels>
          <cx:dataId val="0"/>
        </cx:series>
      </cx:plotAreaRegion>
      <cx:axis id="0" hidden="1">
        <cx:valScaling/>
        <cx:tickLabels/>
      </cx:axis>
      <cx:axis id="1" hidden="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C433C991-56EB-491D-9594-DDA61B638EB3}">
          <cx:tx>
            <cx:txData>
              <cx:f>_xlchart.v1.10</cx:f>
              <cx:v>Attrition</cx:v>
            </cx:txData>
          </cx:tx>
          <cx:dataLabels pos="inEnd">
            <cx:txPr>
              <a:bodyPr spcFirstLastPara="1" vertOverflow="ellipsis" horzOverflow="overflow" wrap="square" lIns="0" tIns="0" rIns="0" bIns="0" anchor="ctr" anchorCtr="1"/>
              <a:lstStyle/>
              <a:p>
                <a:pPr algn="ctr" rtl="0">
                  <a:defRPr sz="1000"/>
                </a:pPr>
                <a:endParaRPr lang="en-US" sz="1000" b="0" i="0" u="none" strike="noStrike" baseline="0">
                  <a:solidFill>
                    <a:sysClr val="window" lastClr="FFFFFF"/>
                  </a:solidFill>
                  <a:latin typeface="Calibri" panose="020F0502020204030204"/>
                </a:endParaRPr>
              </a:p>
            </cx:txPr>
            <cx:visibility seriesName="0" categoryName="1" value="0"/>
            <cx:dataLabel idx="2">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panose="020F0502020204030204"/>
                    </a:rPr>
                    <a:t>Laboratory Technician</a:t>
                  </a:r>
                </a:p>
              </cx:txPr>
            </cx:dataLabel>
          </cx:dataLabels>
          <cx:dataId val="0"/>
          <cx:layoutPr>
            <cx:parentLabelLayout val="overlapping"/>
          </cx:layoutPr>
        </cx:series>
      </cx:plotAreaRegion>
    </cx:plotArea>
  </cx:chart>
  <cx:spPr>
    <a:solidFill>
      <a:schemeClr val="lt1"/>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ln>
              <a:noFill/>
            </a:ln>
          </cx:spPr>
        </cx:plotSurface>
        <cx:series layoutId="funnel" uniqueId="{10E493FD-9A9C-47D4-AC0E-B928EBAC1B9C}">
          <cx:tx>
            <cx:txData>
              <cx:f>_xlchart.v2.7</cx:f>
              <cx:v>Attrition</cx:v>
            </cx:txData>
          </cx:tx>
          <cx:spPr>
            <a:gradFill>
              <a:gsLst>
                <a:gs pos="0">
                  <a:srgbClr val="AD4F0F"/>
                </a:gs>
                <a:gs pos="100000">
                  <a:srgbClr val="3BDD2F"/>
                </a:gs>
              </a:gsLst>
              <a:lin ang="0" scaled="0"/>
            </a:gradFill>
          </cx:spPr>
          <cx:data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2.xml"/><Relationship Id="rId18" Type="http://schemas.openxmlformats.org/officeDocument/2006/relationships/image" Target="../media/image8.png"/><Relationship Id="rId3" Type="http://schemas.openxmlformats.org/officeDocument/2006/relationships/chart" Target="../charts/chart8.xml"/><Relationship Id="rId21" Type="http://schemas.openxmlformats.org/officeDocument/2006/relationships/image" Target="../media/image11.png"/><Relationship Id="rId7" Type="http://schemas.openxmlformats.org/officeDocument/2006/relationships/image" Target="../media/image5.svg"/><Relationship Id="rId12" Type="http://schemas.microsoft.com/office/2014/relationships/chartEx" Target="../charts/chartEx4.xml"/><Relationship Id="rId17" Type="http://schemas.openxmlformats.org/officeDocument/2006/relationships/image" Target="../media/image7.png"/><Relationship Id="rId2" Type="http://schemas.openxmlformats.org/officeDocument/2006/relationships/chart" Target="../charts/chart7.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1.xml"/><Relationship Id="rId5" Type="http://schemas.openxmlformats.org/officeDocument/2006/relationships/image" Target="../media/image3.svg"/><Relationship Id="rId15" Type="http://schemas.openxmlformats.org/officeDocument/2006/relationships/chart" Target="../charts/chart14.xml"/><Relationship Id="rId10" Type="http://schemas.microsoft.com/office/2014/relationships/chartEx" Target="../charts/chartEx3.xml"/><Relationship Id="rId19" Type="http://schemas.openxmlformats.org/officeDocument/2006/relationships/image" Target="../media/image9.png"/><Relationship Id="rId4" Type="http://schemas.openxmlformats.org/officeDocument/2006/relationships/image" Target="../media/image2.png"/><Relationship Id="rId9" Type="http://schemas.openxmlformats.org/officeDocument/2006/relationships/chart" Target="../charts/chart10.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274320</xdr:colOff>
      <xdr:row>8</xdr:row>
      <xdr:rowOff>152400</xdr:rowOff>
    </xdr:from>
    <xdr:to>
      <xdr:col>8</xdr:col>
      <xdr:colOff>7620</xdr:colOff>
      <xdr:row>14</xdr:row>
      <xdr:rowOff>160020</xdr:rowOff>
    </xdr:to>
    <xdr:graphicFrame macro="">
      <xdr:nvGraphicFramePr>
        <xdr:cNvPr id="5" name="Chart 4">
          <a:extLst>
            <a:ext uri="{FF2B5EF4-FFF2-40B4-BE49-F238E27FC236}">
              <a16:creationId xmlns:a16="http://schemas.microsoft.com/office/drawing/2014/main" id="{6E76888C-F45B-66EF-857D-AA0EA9EBF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220980</xdr:colOff>
      <xdr:row>3</xdr:row>
      <xdr:rowOff>106681</xdr:rowOff>
    </xdr:from>
    <xdr:to>
      <xdr:col>13</xdr:col>
      <xdr:colOff>220980</xdr:colOff>
      <xdr:row>10</xdr:row>
      <xdr:rowOff>7621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F745DCB5-9AFB-A148-21E2-00FC0E08E4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3618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9</xdr:row>
      <xdr:rowOff>38100</xdr:rowOff>
    </xdr:from>
    <xdr:to>
      <xdr:col>4</xdr:col>
      <xdr:colOff>350520</xdr:colOff>
      <xdr:row>15</xdr:row>
      <xdr:rowOff>38100</xdr:rowOff>
    </xdr:to>
    <xdr:graphicFrame macro="">
      <xdr:nvGraphicFramePr>
        <xdr:cNvPr id="5" name="Chart 4">
          <a:extLst>
            <a:ext uri="{FF2B5EF4-FFF2-40B4-BE49-F238E27FC236}">
              <a16:creationId xmlns:a16="http://schemas.microsoft.com/office/drawing/2014/main" id="{43DF69C0-613B-5872-826C-6DA7ADDC8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4</xdr:row>
      <xdr:rowOff>60960</xdr:rowOff>
    </xdr:from>
    <xdr:to>
      <xdr:col>7</xdr:col>
      <xdr:colOff>99060</xdr:colOff>
      <xdr:row>8</xdr:row>
      <xdr:rowOff>160020</xdr:rowOff>
    </xdr:to>
    <xdr:graphicFrame macro="">
      <xdr:nvGraphicFramePr>
        <xdr:cNvPr id="3" name="Chart 2">
          <a:extLst>
            <a:ext uri="{FF2B5EF4-FFF2-40B4-BE49-F238E27FC236}">
              <a16:creationId xmlns:a16="http://schemas.microsoft.com/office/drawing/2014/main" id="{9BBE6402-8621-FF3F-9132-89C6AE122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228600</xdr:colOff>
      <xdr:row>1</xdr:row>
      <xdr:rowOff>121920</xdr:rowOff>
    </xdr:from>
    <xdr:to>
      <xdr:col>11</xdr:col>
      <xdr:colOff>228600</xdr:colOff>
      <xdr:row>7</xdr:row>
      <xdr:rowOff>45719</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7E850AFF-BCE7-A4B0-A7B2-6863BD4A93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41720" y="304800"/>
              <a:ext cx="182880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236220</xdr:colOff>
      <xdr:row>8</xdr:row>
      <xdr:rowOff>76201</xdr:rowOff>
    </xdr:from>
    <xdr:to>
      <xdr:col>11</xdr:col>
      <xdr:colOff>236220</xdr:colOff>
      <xdr:row>17</xdr:row>
      <xdr:rowOff>45721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8E660A5-F9AA-776F-7091-6AB4F052650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149340" y="153924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312420</xdr:colOff>
      <xdr:row>6</xdr:row>
      <xdr:rowOff>45720</xdr:rowOff>
    </xdr:from>
    <xdr:to>
      <xdr:col>13</xdr:col>
      <xdr:colOff>7620</xdr:colOff>
      <xdr:row>21</xdr:row>
      <xdr:rowOff>45720</xdr:rowOff>
    </xdr:to>
    <xdr:graphicFrame macro="">
      <xdr:nvGraphicFramePr>
        <xdr:cNvPr id="2" name="Chart 1">
          <a:extLst>
            <a:ext uri="{FF2B5EF4-FFF2-40B4-BE49-F238E27FC236}">
              <a16:creationId xmlns:a16="http://schemas.microsoft.com/office/drawing/2014/main" id="{79BC82E2-88E4-43E0-09E5-452A2D1BE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381000</xdr:colOff>
      <xdr:row>2</xdr:row>
      <xdr:rowOff>156210</xdr:rowOff>
    </xdr:from>
    <xdr:to>
      <xdr:col>14</xdr:col>
      <xdr:colOff>76200</xdr:colOff>
      <xdr:row>17</xdr:row>
      <xdr:rowOff>156210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A0E7F83-7F3D-F7BF-7099-6FC910A989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72300" y="5219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388620</xdr:colOff>
      <xdr:row>11</xdr:row>
      <xdr:rowOff>7620</xdr:rowOff>
    </xdr:from>
    <xdr:to>
      <xdr:col>8</xdr:col>
      <xdr:colOff>335280</xdr:colOff>
      <xdr:row>19</xdr:row>
      <xdr:rowOff>38100</xdr:rowOff>
    </xdr:to>
    <xdr:graphicFrame macro="">
      <xdr:nvGraphicFramePr>
        <xdr:cNvPr id="2" name="Chart 1">
          <a:extLst>
            <a:ext uri="{FF2B5EF4-FFF2-40B4-BE49-F238E27FC236}">
              <a16:creationId xmlns:a16="http://schemas.microsoft.com/office/drawing/2014/main" id="{CD74515D-9AEE-FC0D-9BF2-ADDDAF69A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556260</xdr:colOff>
      <xdr:row>5</xdr:row>
      <xdr:rowOff>91440</xdr:rowOff>
    </xdr:from>
    <xdr:to>
      <xdr:col>14</xdr:col>
      <xdr:colOff>556260</xdr:colOff>
      <xdr:row>18</xdr:row>
      <xdr:rowOff>180975</xdr:rowOff>
    </xdr:to>
    <mc:AlternateContent xmlns:mc="http://schemas.openxmlformats.org/markup-compatibility/2006" xmlns:a14="http://schemas.microsoft.com/office/drawing/2010/main">
      <mc:Choice Requires="a14">
        <xdr:graphicFrame macro="">
          <xdr:nvGraphicFramePr>
            <xdr:cNvPr id="3" name="Education Field 3">
              <a:extLst>
                <a:ext uri="{FF2B5EF4-FFF2-40B4-BE49-F238E27FC236}">
                  <a16:creationId xmlns:a16="http://schemas.microsoft.com/office/drawing/2014/main" id="{0D5A3A65-A37E-5D4E-A2A8-144F3966D8F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8473440" y="100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525780</xdr:colOff>
      <xdr:row>9</xdr:row>
      <xdr:rowOff>38100</xdr:rowOff>
    </xdr:from>
    <xdr:to>
      <xdr:col>9</xdr:col>
      <xdr:colOff>121920</xdr:colOff>
      <xdr:row>21</xdr:row>
      <xdr:rowOff>41910</xdr:rowOff>
    </xdr:to>
    <xdr:graphicFrame macro="">
      <xdr:nvGraphicFramePr>
        <xdr:cNvPr id="2" name="Chart 1">
          <a:extLst>
            <a:ext uri="{FF2B5EF4-FFF2-40B4-BE49-F238E27FC236}">
              <a16:creationId xmlns:a16="http://schemas.microsoft.com/office/drawing/2014/main" id="{0280F4AF-8A6B-283F-EA54-0D14760F5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464820</xdr:colOff>
      <xdr:row>5</xdr:row>
      <xdr:rowOff>60960</xdr:rowOff>
    </xdr:from>
    <xdr:to>
      <xdr:col>13</xdr:col>
      <xdr:colOff>464820</xdr:colOff>
      <xdr:row>18</xdr:row>
      <xdr:rowOff>150495</xdr:rowOff>
    </xdr:to>
    <mc:AlternateContent xmlns:mc="http://schemas.openxmlformats.org/markup-compatibility/2006" xmlns:a14="http://schemas.microsoft.com/office/drawing/2010/main">
      <mc:Choice Requires="a14">
        <xdr:graphicFrame macro="">
          <xdr:nvGraphicFramePr>
            <xdr:cNvPr id="3" name="Education Field 2">
              <a:extLst>
                <a:ext uri="{FF2B5EF4-FFF2-40B4-BE49-F238E27FC236}">
                  <a16:creationId xmlns:a16="http://schemas.microsoft.com/office/drawing/2014/main" id="{6D174231-D627-4909-A931-3306E2984B9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772400" y="97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144780</xdr:colOff>
      <xdr:row>0</xdr:row>
      <xdr:rowOff>152400</xdr:rowOff>
    </xdr:from>
    <xdr:to>
      <xdr:col>14</xdr:col>
      <xdr:colOff>144780</xdr:colOff>
      <xdr:row>14</xdr:row>
      <xdr:rowOff>59055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A4284DB3-2621-81B6-5EC1-421628429C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7814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563880</xdr:colOff>
      <xdr:row>0</xdr:row>
      <xdr:rowOff>144780</xdr:rowOff>
    </xdr:from>
    <xdr:to>
      <xdr:col>17</xdr:col>
      <xdr:colOff>563880</xdr:colOff>
      <xdr:row>14</xdr:row>
      <xdr:rowOff>51435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72F329B3-D367-0F02-AE60-E71331325E7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226040" y="144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563880</xdr:colOff>
      <xdr:row>11</xdr:row>
      <xdr:rowOff>129540</xdr:rowOff>
    </xdr:from>
    <xdr:to>
      <xdr:col>9</xdr:col>
      <xdr:colOff>175260</xdr:colOff>
      <xdr:row>23</xdr:row>
      <xdr:rowOff>171450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6C7B150C-8E1F-F72A-C8A5-1E472E60C9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24200" y="2141220"/>
              <a:ext cx="3665220" cy="2236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6</xdr:col>
      <xdr:colOff>374317</xdr:colOff>
      <xdr:row>1</xdr:row>
      <xdr:rowOff>93580</xdr:rowOff>
    </xdr:from>
    <xdr:ext cx="14478000" cy="8352000"/>
    <xdr:grpSp>
      <xdr:nvGrpSpPr>
        <xdr:cNvPr id="2" name="Shape 2">
          <a:extLst>
            <a:ext uri="{FF2B5EF4-FFF2-40B4-BE49-F238E27FC236}">
              <a16:creationId xmlns:a16="http://schemas.microsoft.com/office/drawing/2014/main" id="{78236798-B364-4A3C-9B89-1DDFF8D7B614}"/>
            </a:ext>
          </a:extLst>
        </xdr:cNvPr>
        <xdr:cNvGrpSpPr/>
      </xdr:nvGrpSpPr>
      <xdr:grpSpPr>
        <a:xfrm>
          <a:off x="4064001" y="280738"/>
          <a:ext cx="14478000" cy="8352000"/>
          <a:chOff x="0" y="60488"/>
          <a:chExt cx="10692000" cy="7439025"/>
        </a:xfrm>
      </xdr:grpSpPr>
      <xdr:grpSp>
        <xdr:nvGrpSpPr>
          <xdr:cNvPr id="3" name="Shape 29">
            <a:extLst>
              <a:ext uri="{FF2B5EF4-FFF2-40B4-BE49-F238E27FC236}">
                <a16:creationId xmlns:a16="http://schemas.microsoft.com/office/drawing/2014/main" id="{1B4C148C-C2BC-288A-C49D-AFF7B653DBAC}"/>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3E40EDCF-639F-8634-C626-940691A02CB7}"/>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1F530667-4F83-475E-B7B6-24E3ADC24207}"/>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DF7BD307-A1E2-028B-B4FD-AED15E1CD389}"/>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EE5DFE82-C78F-8C50-3332-1C1C4B14D309}"/>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F610EF2C-2B14-ABC7-E0C9-440B04245DD6}"/>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ACC9F6F7-8B82-DDAC-71B0-6CDCFA55D7E8}"/>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91B8CEC9-37BE-ECFD-8DF3-C3041E00E753}"/>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F9D29335-2127-6A5D-EF1F-1BE6BA710DD3}"/>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628F6449-9DC4-BA74-7E22-FC8964AEC098}"/>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12C7E02B-6D84-7144-7B56-D34E3797D69E}"/>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F48EE73A-29BA-A681-97D5-56CCAC3F504A}"/>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22" name="Shape 41">
              <a:extLst>
                <a:ext uri="{FF2B5EF4-FFF2-40B4-BE49-F238E27FC236}">
                  <a16:creationId xmlns:a16="http://schemas.microsoft.com/office/drawing/2014/main" id="{3CE36683-B87D-4097-CAB5-DF5CE65A83A7}"/>
                </a:ext>
              </a:extLst>
            </xdr:cNvPr>
            <xdr:cNvSpPr/>
          </xdr:nvSpPr>
          <xdr:spPr>
            <a:xfrm>
              <a:off x="1847145" y="5162550"/>
              <a:ext cx="386793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44">
              <a:extLst>
                <a:ext uri="{FF2B5EF4-FFF2-40B4-BE49-F238E27FC236}">
                  <a16:creationId xmlns:a16="http://schemas.microsoft.com/office/drawing/2014/main" id="{E4CA5DDF-F67E-B38B-4A64-CEC56CC85B28}"/>
                </a:ext>
              </a:extLst>
            </xdr:cNvPr>
            <xdr:cNvSpPr/>
          </xdr:nvSpPr>
          <xdr:spPr>
            <a:xfrm>
              <a:off x="10744200" y="2304895"/>
              <a:ext cx="4381502"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46">
              <a:extLst>
                <a:ext uri="{FF2B5EF4-FFF2-40B4-BE49-F238E27FC236}">
                  <a16:creationId xmlns:a16="http://schemas.microsoft.com/office/drawing/2014/main" id="{7DEDD4A4-B698-2164-F201-EED8C021588F}"/>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48">
              <a:extLst>
                <a:ext uri="{FF2B5EF4-FFF2-40B4-BE49-F238E27FC236}">
                  <a16:creationId xmlns:a16="http://schemas.microsoft.com/office/drawing/2014/main" id="{F9A6BCC2-8AF3-1A7C-D4F8-F069B08AABC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 name="Shape 50">
              <a:extLst>
                <a:ext uri="{FF2B5EF4-FFF2-40B4-BE49-F238E27FC236}">
                  <a16:creationId xmlns:a16="http://schemas.microsoft.com/office/drawing/2014/main" id="{9415D17F-6A92-54DF-E72F-6A43D7EF6BA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0" name="Shape 52">
              <a:extLst>
                <a:ext uri="{FF2B5EF4-FFF2-40B4-BE49-F238E27FC236}">
                  <a16:creationId xmlns:a16="http://schemas.microsoft.com/office/drawing/2014/main" id="{33B5FCF3-F049-CD87-CA6F-DF3F34C01E9B}"/>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6</xdr:col>
      <xdr:colOff>601579</xdr:colOff>
      <xdr:row>7</xdr:row>
      <xdr:rowOff>93580</xdr:rowOff>
    </xdr:from>
    <xdr:to>
      <xdr:col>10</xdr:col>
      <xdr:colOff>454526</xdr:colOff>
      <xdr:row>9</xdr:row>
      <xdr:rowOff>120316</xdr:rowOff>
    </xdr:to>
    <xdr:sp macro="" textlink="">
      <xdr:nvSpPr>
        <xdr:cNvPr id="29" name="TextBox 28">
          <a:extLst>
            <a:ext uri="{FF2B5EF4-FFF2-40B4-BE49-F238E27FC236}">
              <a16:creationId xmlns:a16="http://schemas.microsoft.com/office/drawing/2014/main" id="{C24215BC-A0F7-D36C-F64C-4069669EF69E}"/>
            </a:ext>
          </a:extLst>
        </xdr:cNvPr>
        <xdr:cNvSpPr txBox="1"/>
      </xdr:nvSpPr>
      <xdr:spPr>
        <a:xfrm>
          <a:off x="4291263" y="1403685"/>
          <a:ext cx="2312737"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TOTAL</a:t>
          </a:r>
          <a:r>
            <a:rPr lang="en-IN" sz="2000" b="1" baseline="0">
              <a:solidFill>
                <a:schemeClr val="accent2">
                  <a:lumMod val="50000"/>
                </a:schemeClr>
              </a:solidFill>
              <a:effectLst/>
              <a:latin typeface="+mn-lt"/>
              <a:ea typeface="+mn-ea"/>
              <a:cs typeface="+mn-cs"/>
            </a:rPr>
            <a:t> EMPLOYEES</a:t>
          </a:r>
          <a:endParaRPr lang="en-IN" sz="2000" b="1">
            <a:solidFill>
              <a:schemeClr val="accent2">
                <a:lumMod val="50000"/>
              </a:schemeClr>
            </a:solidFill>
            <a:effectLst/>
          </a:endParaRPr>
        </a:p>
        <a:p>
          <a:pPr algn="ctr"/>
          <a:endParaRPr lang="en-IN" sz="1100"/>
        </a:p>
      </xdr:txBody>
    </xdr:sp>
    <xdr:clientData/>
  </xdr:twoCellAnchor>
  <xdr:twoCellAnchor>
    <xdr:from>
      <xdr:col>11</xdr:col>
      <xdr:colOff>312821</xdr:colOff>
      <xdr:row>7</xdr:row>
      <xdr:rowOff>125664</xdr:rowOff>
    </xdr:from>
    <xdr:to>
      <xdr:col>15</xdr:col>
      <xdr:colOff>165768</xdr:colOff>
      <xdr:row>9</xdr:row>
      <xdr:rowOff>152400</xdr:rowOff>
    </xdr:to>
    <xdr:sp macro="" textlink="">
      <xdr:nvSpPr>
        <xdr:cNvPr id="13" name="TextBox 12">
          <a:extLst>
            <a:ext uri="{FF2B5EF4-FFF2-40B4-BE49-F238E27FC236}">
              <a16:creationId xmlns:a16="http://schemas.microsoft.com/office/drawing/2014/main" id="{E222378B-E640-4912-A57E-216819D9A7D3}"/>
            </a:ext>
          </a:extLst>
        </xdr:cNvPr>
        <xdr:cNvSpPr txBox="1"/>
      </xdr:nvSpPr>
      <xdr:spPr>
        <a:xfrm>
          <a:off x="7077242" y="1435769"/>
          <a:ext cx="2312737"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ATTRITION</a:t>
          </a:r>
          <a:endParaRPr lang="en-IN" sz="2000" b="1">
            <a:solidFill>
              <a:schemeClr val="accent2">
                <a:lumMod val="50000"/>
              </a:schemeClr>
            </a:solidFill>
            <a:effectLst/>
          </a:endParaRPr>
        </a:p>
        <a:p>
          <a:pPr algn="ctr"/>
          <a:endParaRPr lang="en-IN" sz="1100"/>
        </a:p>
      </xdr:txBody>
    </xdr:sp>
    <xdr:clientData/>
  </xdr:twoCellAnchor>
  <xdr:twoCellAnchor>
    <xdr:from>
      <xdr:col>16</xdr:col>
      <xdr:colOff>131011</xdr:colOff>
      <xdr:row>7</xdr:row>
      <xdr:rowOff>104274</xdr:rowOff>
    </xdr:from>
    <xdr:to>
      <xdr:col>19</xdr:col>
      <xdr:colOff>598906</xdr:colOff>
      <xdr:row>9</xdr:row>
      <xdr:rowOff>131010</xdr:rowOff>
    </xdr:to>
    <xdr:sp macro="" textlink="">
      <xdr:nvSpPr>
        <xdr:cNvPr id="17" name="TextBox 16">
          <a:extLst>
            <a:ext uri="{FF2B5EF4-FFF2-40B4-BE49-F238E27FC236}">
              <a16:creationId xmlns:a16="http://schemas.microsoft.com/office/drawing/2014/main" id="{EA13A99A-06D5-4A1C-B7F1-B8B0081F4D98}"/>
            </a:ext>
          </a:extLst>
        </xdr:cNvPr>
        <xdr:cNvSpPr txBox="1"/>
      </xdr:nvSpPr>
      <xdr:spPr>
        <a:xfrm>
          <a:off x="9970169" y="1414379"/>
          <a:ext cx="2312737"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solidFill>
                <a:schemeClr val="accent2">
                  <a:lumMod val="50000"/>
                </a:schemeClr>
              </a:solidFill>
              <a:effectLst/>
              <a:latin typeface="+mn-lt"/>
              <a:ea typeface="+mn-ea"/>
              <a:cs typeface="+mn-cs"/>
            </a:rPr>
            <a:t>ACTIVE EMPLOYEES</a:t>
          </a:r>
          <a:endParaRPr lang="en-IN" sz="2000" b="1">
            <a:solidFill>
              <a:schemeClr val="accent2">
                <a:lumMod val="50000"/>
              </a:schemeClr>
            </a:solidFill>
            <a:effectLst/>
          </a:endParaRPr>
        </a:p>
        <a:p>
          <a:pPr algn="ctr"/>
          <a:endParaRPr lang="en-IN" sz="1100"/>
        </a:p>
      </xdr:txBody>
    </xdr:sp>
    <xdr:clientData/>
  </xdr:twoCellAnchor>
  <xdr:twoCellAnchor>
    <xdr:from>
      <xdr:col>21</xdr:col>
      <xdr:colOff>56144</xdr:colOff>
      <xdr:row>7</xdr:row>
      <xdr:rowOff>109623</xdr:rowOff>
    </xdr:from>
    <xdr:to>
      <xdr:col>24</xdr:col>
      <xdr:colOff>524039</xdr:colOff>
      <xdr:row>9</xdr:row>
      <xdr:rowOff>136359</xdr:rowOff>
    </xdr:to>
    <xdr:sp macro="" textlink="">
      <xdr:nvSpPr>
        <xdr:cNvPr id="19" name="TextBox 18">
          <a:extLst>
            <a:ext uri="{FF2B5EF4-FFF2-40B4-BE49-F238E27FC236}">
              <a16:creationId xmlns:a16="http://schemas.microsoft.com/office/drawing/2014/main" id="{36F792C7-D3A0-4362-BAD2-2C9C0E846A57}"/>
            </a:ext>
          </a:extLst>
        </xdr:cNvPr>
        <xdr:cNvSpPr txBox="1"/>
      </xdr:nvSpPr>
      <xdr:spPr>
        <a:xfrm>
          <a:off x="12970039" y="1419728"/>
          <a:ext cx="2312737"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ATTRITION</a:t>
          </a:r>
          <a:r>
            <a:rPr lang="en-IN" sz="2000" b="1" baseline="0">
              <a:solidFill>
                <a:schemeClr val="accent2">
                  <a:lumMod val="50000"/>
                </a:schemeClr>
              </a:solidFill>
              <a:effectLst/>
              <a:latin typeface="+mn-lt"/>
              <a:ea typeface="+mn-ea"/>
              <a:cs typeface="+mn-cs"/>
            </a:rPr>
            <a:t> RATE</a:t>
          </a:r>
          <a:endParaRPr lang="en-IN" sz="2000" b="1">
            <a:solidFill>
              <a:schemeClr val="accent2">
                <a:lumMod val="50000"/>
              </a:schemeClr>
            </a:solidFill>
            <a:effectLst/>
          </a:endParaRPr>
        </a:p>
        <a:p>
          <a:pPr algn="ctr"/>
          <a:endParaRPr lang="en-IN" sz="1100"/>
        </a:p>
      </xdr:txBody>
    </xdr:sp>
    <xdr:clientData/>
  </xdr:twoCellAnchor>
  <xdr:twoCellAnchor>
    <xdr:from>
      <xdr:col>26</xdr:col>
      <xdr:colOff>213892</xdr:colOff>
      <xdr:row>7</xdr:row>
      <xdr:rowOff>128335</xdr:rowOff>
    </xdr:from>
    <xdr:to>
      <xdr:col>28</xdr:col>
      <xdr:colOff>556125</xdr:colOff>
      <xdr:row>10</xdr:row>
      <xdr:rowOff>120314</xdr:rowOff>
    </xdr:to>
    <xdr:sp macro="" textlink="">
      <xdr:nvSpPr>
        <xdr:cNvPr id="21" name="TextBox 20">
          <a:extLst>
            <a:ext uri="{FF2B5EF4-FFF2-40B4-BE49-F238E27FC236}">
              <a16:creationId xmlns:a16="http://schemas.microsoft.com/office/drawing/2014/main" id="{EAB54111-8856-4EF6-9FE8-5D25E3C2A7B8}"/>
            </a:ext>
          </a:extLst>
        </xdr:cNvPr>
        <xdr:cNvSpPr txBox="1"/>
      </xdr:nvSpPr>
      <xdr:spPr>
        <a:xfrm>
          <a:off x="16202524" y="1438440"/>
          <a:ext cx="1572127" cy="553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AGE</a:t>
          </a:r>
          <a:endParaRPr lang="en-IN" sz="2000" b="1">
            <a:solidFill>
              <a:schemeClr val="accent2">
                <a:lumMod val="50000"/>
              </a:schemeClr>
            </a:solidFill>
            <a:effectLst/>
          </a:endParaRPr>
        </a:p>
        <a:p>
          <a:pPr algn="ctr"/>
          <a:endParaRPr lang="en-IN" sz="1100"/>
        </a:p>
      </xdr:txBody>
    </xdr:sp>
    <xdr:clientData/>
  </xdr:twoCellAnchor>
  <xdr:twoCellAnchor>
    <xdr:from>
      <xdr:col>8</xdr:col>
      <xdr:colOff>601579</xdr:colOff>
      <xdr:row>2</xdr:row>
      <xdr:rowOff>13368</xdr:rowOff>
    </xdr:from>
    <xdr:to>
      <xdr:col>20</xdr:col>
      <xdr:colOff>374316</xdr:colOff>
      <xdr:row>6</xdr:row>
      <xdr:rowOff>26737</xdr:rowOff>
    </xdr:to>
    <xdr:sp macro="" textlink="">
      <xdr:nvSpPr>
        <xdr:cNvPr id="23" name="TextBox 22">
          <a:extLst>
            <a:ext uri="{FF2B5EF4-FFF2-40B4-BE49-F238E27FC236}">
              <a16:creationId xmlns:a16="http://schemas.microsoft.com/office/drawing/2014/main" id="{9061918D-E9D9-40F4-A613-93D24CFBDBAA}"/>
            </a:ext>
          </a:extLst>
        </xdr:cNvPr>
        <xdr:cNvSpPr txBox="1"/>
      </xdr:nvSpPr>
      <xdr:spPr>
        <a:xfrm>
          <a:off x="5521158" y="387684"/>
          <a:ext cx="715210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4400" b="1">
              <a:solidFill>
                <a:schemeClr val="accent2">
                  <a:lumMod val="50000"/>
                </a:schemeClr>
              </a:solidFill>
              <a:effectLst/>
              <a:latin typeface="+mn-lt"/>
              <a:ea typeface="+mn-ea"/>
              <a:cs typeface="+mn-cs"/>
            </a:rPr>
            <a:t>HR</a:t>
          </a:r>
          <a:r>
            <a:rPr lang="en-IN" sz="4400" b="1" baseline="0">
              <a:solidFill>
                <a:schemeClr val="accent2">
                  <a:lumMod val="50000"/>
                </a:schemeClr>
              </a:solidFill>
              <a:effectLst/>
              <a:latin typeface="+mn-lt"/>
              <a:ea typeface="+mn-ea"/>
              <a:cs typeface="+mn-cs"/>
            </a:rPr>
            <a:t> ANALYTICS DASHBOARD</a:t>
          </a:r>
          <a:endParaRPr lang="en-IN" sz="4400" b="1">
            <a:solidFill>
              <a:schemeClr val="accent2">
                <a:lumMod val="50000"/>
              </a:schemeClr>
            </a:solidFill>
            <a:effectLst/>
          </a:endParaRPr>
        </a:p>
        <a:p>
          <a:endParaRPr lang="en-IN" sz="1100"/>
        </a:p>
      </xdr:txBody>
    </xdr:sp>
    <xdr:clientData/>
  </xdr:twoCellAnchor>
  <xdr:twoCellAnchor>
    <xdr:from>
      <xdr:col>22</xdr:col>
      <xdr:colOff>0</xdr:colOff>
      <xdr:row>1</xdr:row>
      <xdr:rowOff>173789</xdr:rowOff>
    </xdr:from>
    <xdr:to>
      <xdr:col>24</xdr:col>
      <xdr:colOff>548105</xdr:colOff>
      <xdr:row>8</xdr:row>
      <xdr:rowOff>40105</xdr:rowOff>
    </xdr:to>
    <xdr:sp macro="" textlink="">
      <xdr:nvSpPr>
        <xdr:cNvPr id="31" name="TextBox 30">
          <a:extLst>
            <a:ext uri="{FF2B5EF4-FFF2-40B4-BE49-F238E27FC236}">
              <a16:creationId xmlns:a16="http://schemas.microsoft.com/office/drawing/2014/main" id="{00CABD42-5F8B-49B0-946E-3964A7FDA660}"/>
            </a:ext>
          </a:extLst>
        </xdr:cNvPr>
        <xdr:cNvSpPr txBox="1"/>
      </xdr:nvSpPr>
      <xdr:spPr>
        <a:xfrm>
          <a:off x="13528842" y="360947"/>
          <a:ext cx="1778000" cy="117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accent2">
                  <a:lumMod val="50000"/>
                </a:schemeClr>
              </a:solidFill>
              <a:effectLst/>
              <a:latin typeface="+mn-lt"/>
              <a:ea typeface="+mn-ea"/>
              <a:cs typeface="+mn-cs"/>
            </a:rPr>
            <a:t>JOB</a:t>
          </a:r>
          <a:r>
            <a:rPr lang="en-IN" sz="1800" b="1" baseline="0">
              <a:solidFill>
                <a:schemeClr val="accent2">
                  <a:lumMod val="50000"/>
                </a:schemeClr>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1800" b="1" baseline="0">
              <a:solidFill>
                <a:schemeClr val="accent2">
                  <a:lumMod val="50000"/>
                </a:schemeClr>
              </a:solidFill>
              <a:effectLst/>
              <a:latin typeface="+mn-lt"/>
              <a:ea typeface="+mn-ea"/>
              <a:cs typeface="+mn-cs"/>
            </a:rPr>
            <a:t>SATISFACTION</a:t>
          </a:r>
        </a:p>
        <a:p>
          <a:pPr marL="0" marR="0" lvl="0" indent="0" defTabSz="914400" eaLnBrk="1" fontAlgn="auto" latinLnBrk="0" hangingPunct="1">
            <a:lnSpc>
              <a:spcPct val="100000"/>
            </a:lnSpc>
            <a:spcBef>
              <a:spcPts val="0"/>
            </a:spcBef>
            <a:spcAft>
              <a:spcPts val="0"/>
            </a:spcAft>
            <a:buClrTx/>
            <a:buSzTx/>
            <a:buFontTx/>
            <a:buNone/>
            <a:tabLst/>
            <a:defRPr/>
          </a:pPr>
          <a:r>
            <a:rPr lang="en-IN" sz="1800" b="1" baseline="0">
              <a:solidFill>
                <a:schemeClr val="accent2">
                  <a:lumMod val="50000"/>
                </a:schemeClr>
              </a:solidFill>
              <a:effectLst/>
              <a:latin typeface="+mn-lt"/>
              <a:ea typeface="+mn-ea"/>
              <a:cs typeface="+mn-cs"/>
            </a:rPr>
            <a:t> RATING</a:t>
          </a:r>
        </a:p>
        <a:p>
          <a:pPr marL="0" marR="0" lvl="0" indent="0" defTabSz="914400" eaLnBrk="1" fontAlgn="auto" latinLnBrk="0" hangingPunct="1">
            <a:lnSpc>
              <a:spcPct val="100000"/>
            </a:lnSpc>
            <a:spcBef>
              <a:spcPts val="0"/>
            </a:spcBef>
            <a:spcAft>
              <a:spcPts val="0"/>
            </a:spcAft>
            <a:buClrTx/>
            <a:buSzTx/>
            <a:buFontTx/>
            <a:buNone/>
            <a:tabLst/>
            <a:defRPr/>
          </a:pPr>
          <a:endParaRPr lang="en-IN" sz="2000" b="1">
            <a:solidFill>
              <a:schemeClr val="accent2">
                <a:lumMod val="50000"/>
              </a:schemeClr>
            </a:solidFill>
            <a:effectLst/>
          </a:endParaRPr>
        </a:p>
        <a:p>
          <a:endParaRPr lang="en-IN" sz="1100"/>
        </a:p>
      </xdr:txBody>
    </xdr:sp>
    <xdr:clientData/>
  </xdr:twoCellAnchor>
  <xdr:oneCellAnchor>
    <xdr:from>
      <xdr:col>20</xdr:col>
      <xdr:colOff>374317</xdr:colOff>
      <xdr:row>2</xdr:row>
      <xdr:rowOff>106947</xdr:rowOff>
    </xdr:from>
    <xdr:ext cx="723900" cy="628650"/>
    <xdr:pic>
      <xdr:nvPicPr>
        <xdr:cNvPr id="37" name="image3.png">
          <a:extLst>
            <a:ext uri="{FF2B5EF4-FFF2-40B4-BE49-F238E27FC236}">
              <a16:creationId xmlns:a16="http://schemas.microsoft.com/office/drawing/2014/main" id="{D532BD14-0A1B-4766-9A0A-6655A2F6EB0B}"/>
            </a:ext>
          </a:extLst>
        </xdr:cNvPr>
        <xdr:cNvPicPr preferRelativeResize="0"/>
      </xdr:nvPicPr>
      <xdr:blipFill>
        <a:blip xmlns:r="http://schemas.openxmlformats.org/officeDocument/2006/relationships" r:embed="rId1" cstate="print"/>
        <a:stretch>
          <a:fillRect/>
        </a:stretch>
      </xdr:blipFill>
      <xdr:spPr>
        <a:xfrm>
          <a:off x="12673264" y="481263"/>
          <a:ext cx="723900" cy="628650"/>
        </a:xfrm>
        <a:prstGeom prst="rect">
          <a:avLst/>
        </a:prstGeom>
        <a:noFill/>
      </xdr:spPr>
    </xdr:pic>
    <xdr:clientData fLocksWithSheet="0"/>
  </xdr:oneCellAnchor>
  <xdr:twoCellAnchor>
    <xdr:from>
      <xdr:col>24</xdr:col>
      <xdr:colOff>267368</xdr:colOff>
      <xdr:row>1</xdr:row>
      <xdr:rowOff>106947</xdr:rowOff>
    </xdr:from>
    <xdr:to>
      <xdr:col>26</xdr:col>
      <xdr:colOff>213895</xdr:colOff>
      <xdr:row>7</xdr:row>
      <xdr:rowOff>0</xdr:rowOff>
    </xdr:to>
    <xdr:graphicFrame macro="">
      <xdr:nvGraphicFramePr>
        <xdr:cNvPr id="34" name="Chart 33">
          <a:extLst>
            <a:ext uri="{FF2B5EF4-FFF2-40B4-BE49-F238E27FC236}">
              <a16:creationId xmlns:a16="http://schemas.microsoft.com/office/drawing/2014/main" id="{F58424BB-431E-4704-98E0-87F17FFC9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133685</xdr:colOff>
      <xdr:row>2</xdr:row>
      <xdr:rowOff>26738</xdr:rowOff>
    </xdr:from>
    <xdr:to>
      <xdr:col>29</xdr:col>
      <xdr:colOff>334211</xdr:colOff>
      <xdr:row>5</xdr:row>
      <xdr:rowOff>173790</xdr:rowOff>
    </xdr:to>
    <xdr:graphicFrame macro="">
      <xdr:nvGraphicFramePr>
        <xdr:cNvPr id="39" name="Chart 38">
          <a:extLst>
            <a:ext uri="{FF2B5EF4-FFF2-40B4-BE49-F238E27FC236}">
              <a16:creationId xmlns:a16="http://schemas.microsoft.com/office/drawing/2014/main" id="{2D040F61-A8EE-4E9A-B9FA-7DE907837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267367</xdr:colOff>
      <xdr:row>2</xdr:row>
      <xdr:rowOff>160421</xdr:rowOff>
    </xdr:from>
    <xdr:to>
      <xdr:col>29</xdr:col>
      <xdr:colOff>320841</xdr:colOff>
      <xdr:row>5</xdr:row>
      <xdr:rowOff>147053</xdr:rowOff>
    </xdr:to>
    <xdr:sp macro="" textlink="">
      <xdr:nvSpPr>
        <xdr:cNvPr id="10" name="Freeform: Shape 9">
          <a:extLst>
            <a:ext uri="{FF2B5EF4-FFF2-40B4-BE49-F238E27FC236}">
              <a16:creationId xmlns:a16="http://schemas.microsoft.com/office/drawing/2014/main" id="{DCCE8CF8-E72D-4A62-1816-7E6D167DE2AA}"/>
            </a:ext>
          </a:extLst>
        </xdr:cNvPr>
        <xdr:cNvSpPr/>
      </xdr:nvSpPr>
      <xdr:spPr>
        <a:xfrm>
          <a:off x="16255999" y="534737"/>
          <a:ext cx="1898316" cy="548105"/>
        </a:xfrm>
        <a:custGeom>
          <a:avLst/>
          <a:gdLst>
            <a:gd name="csX0" fmla="*/ 1541757 w 1899821"/>
            <a:gd name="csY0" fmla="*/ 88777 h 479395"/>
            <a:gd name="csX1" fmla="*/ 1501590 w 1899821"/>
            <a:gd name="csY1" fmla="*/ 203723 h 479395"/>
            <a:gd name="csX2" fmla="*/ 1371602 w 1899821"/>
            <a:gd name="csY2" fmla="*/ 203723 h 479395"/>
            <a:gd name="csX3" fmla="*/ 1476765 w 1899821"/>
            <a:gd name="csY3" fmla="*/ 274762 h 479395"/>
            <a:gd name="csX4" fmla="*/ 1436596 w 1899821"/>
            <a:gd name="csY4" fmla="*/ 389708 h 479395"/>
            <a:gd name="csX5" fmla="*/ 1541757 w 1899821"/>
            <a:gd name="csY5" fmla="*/ 318667 h 479395"/>
            <a:gd name="csX6" fmla="*/ 1646918 w 1899821"/>
            <a:gd name="csY6" fmla="*/ 389708 h 479395"/>
            <a:gd name="csX7" fmla="*/ 1606749 w 1899821"/>
            <a:gd name="csY7" fmla="*/ 274762 h 479395"/>
            <a:gd name="csX8" fmla="*/ 1711912 w 1899821"/>
            <a:gd name="csY8" fmla="*/ 203723 h 479395"/>
            <a:gd name="csX9" fmla="*/ 1581924 w 1899821"/>
            <a:gd name="csY9" fmla="*/ 203723 h 479395"/>
            <a:gd name="csX10" fmla="*/ 1146700 w 1899821"/>
            <a:gd name="csY10" fmla="*/ 88777 h 479395"/>
            <a:gd name="csX11" fmla="*/ 1106533 w 1899821"/>
            <a:gd name="csY11" fmla="*/ 203723 h 479395"/>
            <a:gd name="csX12" fmla="*/ 976545 w 1899821"/>
            <a:gd name="csY12" fmla="*/ 203723 h 479395"/>
            <a:gd name="csX13" fmla="*/ 1081708 w 1899821"/>
            <a:gd name="csY13" fmla="*/ 274762 h 479395"/>
            <a:gd name="csX14" fmla="*/ 1041539 w 1899821"/>
            <a:gd name="csY14" fmla="*/ 389708 h 479395"/>
            <a:gd name="csX15" fmla="*/ 1146700 w 1899821"/>
            <a:gd name="csY15" fmla="*/ 318667 h 479395"/>
            <a:gd name="csX16" fmla="*/ 1251861 w 1899821"/>
            <a:gd name="csY16" fmla="*/ 389708 h 479395"/>
            <a:gd name="csX17" fmla="*/ 1211692 w 1899821"/>
            <a:gd name="csY17" fmla="*/ 274762 h 479395"/>
            <a:gd name="csX18" fmla="*/ 1316855 w 1899821"/>
            <a:gd name="csY18" fmla="*/ 203723 h 479395"/>
            <a:gd name="csX19" fmla="*/ 1186867 w 1899821"/>
            <a:gd name="csY19" fmla="*/ 203723 h 479395"/>
            <a:gd name="csX20" fmla="*/ 751643 w 1899821"/>
            <a:gd name="csY20" fmla="*/ 88777 h 479395"/>
            <a:gd name="csX21" fmla="*/ 711476 w 1899821"/>
            <a:gd name="csY21" fmla="*/ 203723 h 479395"/>
            <a:gd name="csX22" fmla="*/ 581488 w 1899821"/>
            <a:gd name="csY22" fmla="*/ 203723 h 479395"/>
            <a:gd name="csX23" fmla="*/ 686651 w 1899821"/>
            <a:gd name="csY23" fmla="*/ 274762 h 479395"/>
            <a:gd name="csX24" fmla="*/ 646482 w 1899821"/>
            <a:gd name="csY24" fmla="*/ 389708 h 479395"/>
            <a:gd name="csX25" fmla="*/ 751643 w 1899821"/>
            <a:gd name="csY25" fmla="*/ 318667 h 479395"/>
            <a:gd name="csX26" fmla="*/ 856804 w 1899821"/>
            <a:gd name="csY26" fmla="*/ 389708 h 479395"/>
            <a:gd name="csX27" fmla="*/ 816635 w 1899821"/>
            <a:gd name="csY27" fmla="*/ 274762 h 479395"/>
            <a:gd name="csX28" fmla="*/ 921798 w 1899821"/>
            <a:gd name="csY28" fmla="*/ 203723 h 479395"/>
            <a:gd name="csX29" fmla="*/ 791810 w 1899821"/>
            <a:gd name="csY29" fmla="*/ 203723 h 479395"/>
            <a:gd name="csX30" fmla="*/ 356586 w 1899821"/>
            <a:gd name="csY30" fmla="*/ 88777 h 479395"/>
            <a:gd name="csX31" fmla="*/ 316419 w 1899821"/>
            <a:gd name="csY31" fmla="*/ 203723 h 479395"/>
            <a:gd name="csX32" fmla="*/ 186431 w 1899821"/>
            <a:gd name="csY32" fmla="*/ 203723 h 479395"/>
            <a:gd name="csX33" fmla="*/ 291594 w 1899821"/>
            <a:gd name="csY33" fmla="*/ 274762 h 479395"/>
            <a:gd name="csX34" fmla="*/ 251425 w 1899821"/>
            <a:gd name="csY34" fmla="*/ 389708 h 479395"/>
            <a:gd name="csX35" fmla="*/ 356586 w 1899821"/>
            <a:gd name="csY35" fmla="*/ 318667 h 479395"/>
            <a:gd name="csX36" fmla="*/ 461747 w 1899821"/>
            <a:gd name="csY36" fmla="*/ 389708 h 479395"/>
            <a:gd name="csX37" fmla="*/ 421578 w 1899821"/>
            <a:gd name="csY37" fmla="*/ 274762 h 479395"/>
            <a:gd name="csX38" fmla="*/ 526741 w 1899821"/>
            <a:gd name="csY38" fmla="*/ 203723 h 479395"/>
            <a:gd name="csX39" fmla="*/ 396753 w 1899821"/>
            <a:gd name="csY39" fmla="*/ 203723 h 479395"/>
            <a:gd name="csX40" fmla="*/ 0 w 1899821"/>
            <a:gd name="csY40" fmla="*/ 0 h 479395"/>
            <a:gd name="csX41" fmla="*/ 1899821 w 1899821"/>
            <a:gd name="csY41" fmla="*/ 0 h 479395"/>
            <a:gd name="csX42" fmla="*/ 1899821 w 1899821"/>
            <a:gd name="csY42" fmla="*/ 479395 h 479395"/>
            <a:gd name="csX43" fmla="*/ 0 w 1899821"/>
            <a:gd name="csY43" fmla="*/ 479395 h 47939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899821" h="479395">
              <a:moveTo>
                <a:pt x="1541757" y="88777"/>
              </a:moveTo>
              <a:lnTo>
                <a:pt x="1501590" y="203723"/>
              </a:lnTo>
              <a:lnTo>
                <a:pt x="1371602" y="203723"/>
              </a:lnTo>
              <a:lnTo>
                <a:pt x="1476765" y="274762"/>
              </a:lnTo>
              <a:lnTo>
                <a:pt x="1436596" y="389708"/>
              </a:lnTo>
              <a:lnTo>
                <a:pt x="1541757" y="318667"/>
              </a:lnTo>
              <a:lnTo>
                <a:pt x="1646918" y="389708"/>
              </a:lnTo>
              <a:lnTo>
                <a:pt x="1606749" y="274762"/>
              </a:lnTo>
              <a:lnTo>
                <a:pt x="1711912" y="203723"/>
              </a:lnTo>
              <a:lnTo>
                <a:pt x="1581924" y="203723"/>
              </a:lnTo>
              <a:close/>
              <a:moveTo>
                <a:pt x="1146700" y="88777"/>
              </a:moveTo>
              <a:lnTo>
                <a:pt x="1106533" y="203723"/>
              </a:lnTo>
              <a:lnTo>
                <a:pt x="976545" y="203723"/>
              </a:lnTo>
              <a:lnTo>
                <a:pt x="1081708" y="274762"/>
              </a:lnTo>
              <a:lnTo>
                <a:pt x="1041539" y="389708"/>
              </a:lnTo>
              <a:lnTo>
                <a:pt x="1146700" y="318667"/>
              </a:lnTo>
              <a:lnTo>
                <a:pt x="1251861" y="389708"/>
              </a:lnTo>
              <a:lnTo>
                <a:pt x="1211692" y="274762"/>
              </a:lnTo>
              <a:lnTo>
                <a:pt x="1316855" y="203723"/>
              </a:lnTo>
              <a:lnTo>
                <a:pt x="1186867" y="203723"/>
              </a:lnTo>
              <a:close/>
              <a:moveTo>
                <a:pt x="751643" y="88777"/>
              </a:moveTo>
              <a:lnTo>
                <a:pt x="711476" y="203723"/>
              </a:lnTo>
              <a:lnTo>
                <a:pt x="581488" y="203723"/>
              </a:lnTo>
              <a:lnTo>
                <a:pt x="686651" y="274762"/>
              </a:lnTo>
              <a:lnTo>
                <a:pt x="646482" y="389708"/>
              </a:lnTo>
              <a:lnTo>
                <a:pt x="751643" y="318667"/>
              </a:lnTo>
              <a:lnTo>
                <a:pt x="856804" y="389708"/>
              </a:lnTo>
              <a:lnTo>
                <a:pt x="816635" y="274762"/>
              </a:lnTo>
              <a:lnTo>
                <a:pt x="921798" y="203723"/>
              </a:lnTo>
              <a:lnTo>
                <a:pt x="791810" y="203723"/>
              </a:lnTo>
              <a:close/>
              <a:moveTo>
                <a:pt x="356586" y="88777"/>
              </a:moveTo>
              <a:lnTo>
                <a:pt x="316419" y="203723"/>
              </a:lnTo>
              <a:lnTo>
                <a:pt x="186431" y="203723"/>
              </a:lnTo>
              <a:lnTo>
                <a:pt x="291594" y="274762"/>
              </a:lnTo>
              <a:lnTo>
                <a:pt x="251425" y="389708"/>
              </a:lnTo>
              <a:lnTo>
                <a:pt x="356586" y="318667"/>
              </a:lnTo>
              <a:lnTo>
                <a:pt x="461747" y="389708"/>
              </a:lnTo>
              <a:lnTo>
                <a:pt x="421578" y="274762"/>
              </a:lnTo>
              <a:lnTo>
                <a:pt x="526741" y="203723"/>
              </a:lnTo>
              <a:lnTo>
                <a:pt x="396753" y="203723"/>
              </a:lnTo>
              <a:close/>
              <a:moveTo>
                <a:pt x="0" y="0"/>
              </a:moveTo>
              <a:lnTo>
                <a:pt x="1899821" y="0"/>
              </a:lnTo>
              <a:lnTo>
                <a:pt x="1899821" y="479395"/>
              </a:lnTo>
              <a:lnTo>
                <a:pt x="0" y="479395"/>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5"/>
            </a:solidFill>
          </a:endParaRPr>
        </a:p>
      </xdr:txBody>
    </xdr:sp>
    <xdr:clientData/>
  </xdr:twoCellAnchor>
  <xdr:twoCellAnchor editAs="oneCell">
    <xdr:from>
      <xdr:col>8</xdr:col>
      <xdr:colOff>551054</xdr:colOff>
      <xdr:row>22</xdr:row>
      <xdr:rowOff>2947</xdr:rowOff>
    </xdr:from>
    <xdr:to>
      <xdr:col>10</xdr:col>
      <xdr:colOff>77159</xdr:colOff>
      <xdr:row>26</xdr:row>
      <xdr:rowOff>10316</xdr:rowOff>
    </xdr:to>
    <xdr:pic>
      <xdr:nvPicPr>
        <xdr:cNvPr id="46" name="Graphic 45" descr="Female Profile with solid fill">
          <a:extLst>
            <a:ext uri="{FF2B5EF4-FFF2-40B4-BE49-F238E27FC236}">
              <a16:creationId xmlns:a16="http://schemas.microsoft.com/office/drawing/2014/main" id="{29080734-A6B4-727F-0881-C9510D38E88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70633" y="4120421"/>
          <a:ext cx="756000" cy="756000"/>
        </a:xfrm>
        <a:prstGeom prst="rect">
          <a:avLst/>
        </a:prstGeom>
      </xdr:spPr>
    </xdr:pic>
    <xdr:clientData/>
  </xdr:twoCellAnchor>
  <xdr:twoCellAnchor editAs="oneCell">
    <xdr:from>
      <xdr:col>10</xdr:col>
      <xdr:colOff>280736</xdr:colOff>
      <xdr:row>22</xdr:row>
      <xdr:rowOff>-1</xdr:rowOff>
    </xdr:from>
    <xdr:to>
      <xdr:col>11</xdr:col>
      <xdr:colOff>421789</xdr:colOff>
      <xdr:row>26</xdr:row>
      <xdr:rowOff>7368</xdr:rowOff>
    </xdr:to>
    <xdr:pic>
      <xdr:nvPicPr>
        <xdr:cNvPr id="48" name="Graphic 47" descr="Male profile with solid fill">
          <a:extLst>
            <a:ext uri="{FF2B5EF4-FFF2-40B4-BE49-F238E27FC236}">
              <a16:creationId xmlns:a16="http://schemas.microsoft.com/office/drawing/2014/main" id="{87E191A8-EB0F-EC4C-B3B7-44674CFCA24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30210" y="4117473"/>
          <a:ext cx="756000" cy="756000"/>
        </a:xfrm>
        <a:prstGeom prst="rect">
          <a:avLst/>
        </a:prstGeom>
      </xdr:spPr>
    </xdr:pic>
    <xdr:clientData/>
  </xdr:twoCellAnchor>
  <xdr:twoCellAnchor>
    <xdr:from>
      <xdr:col>7</xdr:col>
      <xdr:colOff>419768</xdr:colOff>
      <xdr:row>14</xdr:row>
      <xdr:rowOff>0</xdr:rowOff>
    </xdr:from>
    <xdr:to>
      <xdr:col>13</xdr:col>
      <xdr:colOff>133684</xdr:colOff>
      <xdr:row>16</xdr:row>
      <xdr:rowOff>40106</xdr:rowOff>
    </xdr:to>
    <xdr:sp macro="" textlink="">
      <xdr:nvSpPr>
        <xdr:cNvPr id="52" name="TextBox 51">
          <a:extLst>
            <a:ext uri="{FF2B5EF4-FFF2-40B4-BE49-F238E27FC236}">
              <a16:creationId xmlns:a16="http://schemas.microsoft.com/office/drawing/2014/main" id="{2A8A7A40-2C3C-4263-AA7F-72215ED9FC9D}"/>
            </a:ext>
          </a:extLst>
        </xdr:cNvPr>
        <xdr:cNvSpPr txBox="1"/>
      </xdr:nvSpPr>
      <xdr:spPr>
        <a:xfrm>
          <a:off x="4724400" y="2620211"/>
          <a:ext cx="3403600" cy="41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Total</a:t>
          </a:r>
          <a:r>
            <a:rPr lang="en-IN" sz="2000" b="1" baseline="0">
              <a:solidFill>
                <a:schemeClr val="accent2">
                  <a:lumMod val="50000"/>
                </a:schemeClr>
              </a:solidFill>
              <a:effectLst/>
              <a:latin typeface="+mn-lt"/>
              <a:ea typeface="+mn-ea"/>
              <a:cs typeface="+mn-cs"/>
            </a:rPr>
            <a:t> Employee by Gender</a:t>
          </a:r>
          <a:endParaRPr lang="en-IN" sz="2000" b="1">
            <a:solidFill>
              <a:schemeClr val="accent2">
                <a:lumMod val="50000"/>
              </a:schemeClr>
            </a:solidFill>
            <a:effectLst/>
          </a:endParaRPr>
        </a:p>
        <a:p>
          <a:endParaRPr lang="en-IN" sz="1100"/>
        </a:p>
      </xdr:txBody>
    </xdr:sp>
    <xdr:clientData/>
  </xdr:twoCellAnchor>
  <xdr:twoCellAnchor>
    <xdr:from>
      <xdr:col>11</xdr:col>
      <xdr:colOff>240631</xdr:colOff>
      <xdr:row>21</xdr:row>
      <xdr:rowOff>120316</xdr:rowOff>
    </xdr:from>
    <xdr:to>
      <xdr:col>13</xdr:col>
      <xdr:colOff>572836</xdr:colOff>
      <xdr:row>27</xdr:row>
      <xdr:rowOff>102269</xdr:rowOff>
    </xdr:to>
    <xdr:graphicFrame macro="">
      <xdr:nvGraphicFramePr>
        <xdr:cNvPr id="56" name="Chart 55">
          <a:extLst>
            <a:ext uri="{FF2B5EF4-FFF2-40B4-BE49-F238E27FC236}">
              <a16:creationId xmlns:a16="http://schemas.microsoft.com/office/drawing/2014/main" id="{D02CC19D-5D43-4180-8A2F-2BFA06187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40106</xdr:colOff>
      <xdr:row>15</xdr:row>
      <xdr:rowOff>173790</xdr:rowOff>
    </xdr:from>
    <xdr:to>
      <xdr:col>21</xdr:col>
      <xdr:colOff>534737</xdr:colOff>
      <xdr:row>29</xdr:row>
      <xdr:rowOff>0</xdr:rowOff>
    </xdr:to>
    <xdr:graphicFrame macro="">
      <xdr:nvGraphicFramePr>
        <xdr:cNvPr id="57" name="Chart 56">
          <a:extLst>
            <a:ext uri="{FF2B5EF4-FFF2-40B4-BE49-F238E27FC236}">
              <a16:creationId xmlns:a16="http://schemas.microsoft.com/office/drawing/2014/main" id="{250B971B-DDC7-4BEF-BED7-C1C7D6175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280737</xdr:colOff>
      <xdr:row>16</xdr:row>
      <xdr:rowOff>66842</xdr:rowOff>
    </xdr:from>
    <xdr:to>
      <xdr:col>29</xdr:col>
      <xdr:colOff>548105</xdr:colOff>
      <xdr:row>29</xdr:row>
      <xdr:rowOff>122988</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16DB2C6D-D491-4466-8F45-C0FD21921C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91937" y="2992922"/>
              <a:ext cx="4534568" cy="24335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147052</xdr:colOff>
      <xdr:row>33</xdr:row>
      <xdr:rowOff>26737</xdr:rowOff>
    </xdr:from>
    <xdr:to>
      <xdr:col>13</xdr:col>
      <xdr:colOff>53473</xdr:colOff>
      <xdr:row>46</xdr:row>
      <xdr:rowOff>13369</xdr:rowOff>
    </xdr:to>
    <xdr:graphicFrame macro="">
      <xdr:nvGraphicFramePr>
        <xdr:cNvPr id="59" name="Chart 58">
          <a:extLst>
            <a:ext uri="{FF2B5EF4-FFF2-40B4-BE49-F238E27FC236}">
              <a16:creationId xmlns:a16="http://schemas.microsoft.com/office/drawing/2014/main" id="{3AB589F6-BD47-4FB2-A92C-DBE0CB53E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25</xdr:col>
      <xdr:colOff>254000</xdr:colOff>
      <xdr:row>33</xdr:row>
      <xdr:rowOff>120313</xdr:rowOff>
    </xdr:from>
    <xdr:to>
      <xdr:col>27</xdr:col>
      <xdr:colOff>419555</xdr:colOff>
      <xdr:row>45</xdr:row>
      <xdr:rowOff>66842</xdr:rowOff>
    </xdr:to>
    <mc:AlternateContent xmlns:mc="http://schemas.openxmlformats.org/markup-compatibility/2006" xmlns:a14="http://schemas.microsoft.com/office/drawing/2010/main">
      <mc:Choice Requires="a14">
        <xdr:graphicFrame macro="">
          <xdr:nvGraphicFramePr>
            <xdr:cNvPr id="61" name="Education Field 1">
              <a:extLst>
                <a:ext uri="{FF2B5EF4-FFF2-40B4-BE49-F238E27FC236}">
                  <a16:creationId xmlns:a16="http://schemas.microsoft.com/office/drawing/2014/main" id="{14B581EF-F93E-433B-BF4B-41B7BD3992E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5627684" y="6296524"/>
              <a:ext cx="1395450" cy="2192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427789</xdr:colOff>
      <xdr:row>33</xdr:row>
      <xdr:rowOff>133685</xdr:rowOff>
    </xdr:from>
    <xdr:to>
      <xdr:col>29</xdr:col>
      <xdr:colOff>557344</xdr:colOff>
      <xdr:row>42</xdr:row>
      <xdr:rowOff>141264</xdr:rowOff>
    </xdr:to>
    <mc:AlternateContent xmlns:mc="http://schemas.openxmlformats.org/markup-compatibility/2006" xmlns:a14="http://schemas.microsoft.com/office/drawing/2010/main">
      <mc:Choice Requires="a14">
        <xdr:graphicFrame macro="">
          <xdr:nvGraphicFramePr>
            <xdr:cNvPr id="62" name="Department 1">
              <a:extLst>
                <a:ext uri="{FF2B5EF4-FFF2-40B4-BE49-F238E27FC236}">
                  <a16:creationId xmlns:a16="http://schemas.microsoft.com/office/drawing/2014/main" id="{00C51435-A4F7-4473-BCBF-70464760D9A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031368" y="6309896"/>
              <a:ext cx="135945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133685</xdr:colOff>
      <xdr:row>32</xdr:row>
      <xdr:rowOff>173789</xdr:rowOff>
    </xdr:from>
    <xdr:to>
      <xdr:col>24</xdr:col>
      <xdr:colOff>481263</xdr:colOff>
      <xdr:row>44</xdr:row>
      <xdr:rowOff>164365</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F22483A6-B131-42F7-927E-04A0CAC27E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325685" y="6025949"/>
              <a:ext cx="2785978" cy="21851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561473</xdr:colOff>
      <xdr:row>21</xdr:row>
      <xdr:rowOff>26737</xdr:rowOff>
    </xdr:from>
    <xdr:to>
      <xdr:col>9</xdr:col>
      <xdr:colOff>26737</xdr:colOff>
      <xdr:row>27</xdr:row>
      <xdr:rowOff>115637</xdr:rowOff>
    </xdr:to>
    <xdr:graphicFrame macro="">
      <xdr:nvGraphicFramePr>
        <xdr:cNvPr id="11" name="Chart 10">
          <a:extLst>
            <a:ext uri="{FF2B5EF4-FFF2-40B4-BE49-F238E27FC236}">
              <a16:creationId xmlns:a16="http://schemas.microsoft.com/office/drawing/2014/main" id="{47705AD7-C100-45BD-B4C8-57A2D55F3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320842</xdr:colOff>
      <xdr:row>16</xdr:row>
      <xdr:rowOff>160421</xdr:rowOff>
    </xdr:from>
    <xdr:to>
      <xdr:col>11</xdr:col>
      <xdr:colOff>332026</xdr:colOff>
      <xdr:row>20</xdr:row>
      <xdr:rowOff>120316</xdr:rowOff>
    </xdr:to>
    <mc:AlternateContent xmlns:mc="http://schemas.openxmlformats.org/markup-compatibility/2006" xmlns:a14="http://schemas.microsoft.com/office/drawing/2010/main">
      <mc:Choice Requires="a14">
        <xdr:graphicFrame macro="">
          <xdr:nvGraphicFramePr>
            <xdr:cNvPr id="15" name="Gender 3">
              <a:extLst>
                <a:ext uri="{FF2B5EF4-FFF2-40B4-BE49-F238E27FC236}">
                  <a16:creationId xmlns:a16="http://schemas.microsoft.com/office/drawing/2014/main" id="{7FFD2220-FA16-4B28-94A8-E8433C9D4D4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240421" y="3154947"/>
              <a:ext cx="1856026" cy="708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280737</xdr:colOff>
      <xdr:row>21</xdr:row>
      <xdr:rowOff>93579</xdr:rowOff>
    </xdr:from>
    <xdr:to>
      <xdr:col>13</xdr:col>
      <xdr:colOff>267368</xdr:colOff>
      <xdr:row>27</xdr:row>
      <xdr:rowOff>147053</xdr:rowOff>
    </xdr:to>
    <xdr:graphicFrame macro="">
      <xdr:nvGraphicFramePr>
        <xdr:cNvPr id="38" name="Chart 37">
          <a:extLst>
            <a:ext uri="{FF2B5EF4-FFF2-40B4-BE49-F238E27FC236}">
              <a16:creationId xmlns:a16="http://schemas.microsoft.com/office/drawing/2014/main" id="{D2AF91CD-C571-4139-8D68-DBBC0A2E3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93580</xdr:colOff>
      <xdr:row>32</xdr:row>
      <xdr:rowOff>133684</xdr:rowOff>
    </xdr:from>
    <xdr:to>
      <xdr:col>19</xdr:col>
      <xdr:colOff>374316</xdr:colOff>
      <xdr:row>44</xdr:row>
      <xdr:rowOff>173790</xdr:rowOff>
    </xdr:to>
    <xdr:graphicFrame macro="">
      <xdr:nvGraphicFramePr>
        <xdr:cNvPr id="40" name="Chart 39">
          <a:extLst>
            <a:ext uri="{FF2B5EF4-FFF2-40B4-BE49-F238E27FC236}">
              <a16:creationId xmlns:a16="http://schemas.microsoft.com/office/drawing/2014/main" id="{3BE68EBB-62EE-4282-8B2A-255537D9A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251326</xdr:colOff>
      <xdr:row>13</xdr:row>
      <xdr:rowOff>165769</xdr:rowOff>
    </xdr:from>
    <xdr:to>
      <xdr:col>20</xdr:col>
      <xdr:colOff>580190</xdr:colOff>
      <xdr:row>16</xdr:row>
      <xdr:rowOff>18717</xdr:rowOff>
    </xdr:to>
    <xdr:sp macro="" textlink="">
      <xdr:nvSpPr>
        <xdr:cNvPr id="41" name="TextBox 40">
          <a:extLst>
            <a:ext uri="{FF2B5EF4-FFF2-40B4-BE49-F238E27FC236}">
              <a16:creationId xmlns:a16="http://schemas.microsoft.com/office/drawing/2014/main" id="{D51F01A4-B4ED-4D47-92BB-946E288D6296}"/>
            </a:ext>
          </a:extLst>
        </xdr:cNvPr>
        <xdr:cNvSpPr txBox="1"/>
      </xdr:nvSpPr>
      <xdr:spPr>
        <a:xfrm>
          <a:off x="9475537" y="2598822"/>
          <a:ext cx="3403600" cy="41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Education wise Attrition</a:t>
          </a:r>
          <a:endParaRPr lang="en-IN" sz="2000" b="1">
            <a:solidFill>
              <a:schemeClr val="accent2">
                <a:lumMod val="50000"/>
              </a:schemeClr>
            </a:solidFill>
            <a:effectLst/>
          </a:endParaRPr>
        </a:p>
        <a:p>
          <a:endParaRPr lang="en-IN" sz="1100"/>
        </a:p>
      </xdr:txBody>
    </xdr:sp>
    <xdr:clientData/>
  </xdr:twoCellAnchor>
  <xdr:twoCellAnchor>
    <xdr:from>
      <xdr:col>23</xdr:col>
      <xdr:colOff>601579</xdr:colOff>
      <xdr:row>13</xdr:row>
      <xdr:rowOff>160420</xdr:rowOff>
    </xdr:from>
    <xdr:to>
      <xdr:col>29</xdr:col>
      <xdr:colOff>104274</xdr:colOff>
      <xdr:row>15</xdr:row>
      <xdr:rowOff>147052</xdr:rowOff>
    </xdr:to>
    <xdr:sp macro="" textlink="">
      <xdr:nvSpPr>
        <xdr:cNvPr id="42" name="TextBox 41">
          <a:extLst>
            <a:ext uri="{FF2B5EF4-FFF2-40B4-BE49-F238E27FC236}">
              <a16:creationId xmlns:a16="http://schemas.microsoft.com/office/drawing/2014/main" id="{5F76AF66-E7B6-4D16-8990-7FD726F796D5}"/>
            </a:ext>
          </a:extLst>
        </xdr:cNvPr>
        <xdr:cNvSpPr txBox="1"/>
      </xdr:nvSpPr>
      <xdr:spPr>
        <a:xfrm>
          <a:off x="14745368" y="2593473"/>
          <a:ext cx="3192380" cy="36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Attrition</a:t>
          </a:r>
          <a:r>
            <a:rPr lang="en-IN" sz="2000" b="1" baseline="0">
              <a:solidFill>
                <a:schemeClr val="accent2">
                  <a:lumMod val="50000"/>
                </a:schemeClr>
              </a:solidFill>
              <a:effectLst/>
              <a:latin typeface="+mn-lt"/>
              <a:ea typeface="+mn-ea"/>
              <a:cs typeface="+mn-cs"/>
            </a:rPr>
            <a:t> by Job Role</a:t>
          </a:r>
          <a:endParaRPr lang="en-IN" sz="2000" b="1">
            <a:solidFill>
              <a:schemeClr val="accent2">
                <a:lumMod val="50000"/>
              </a:schemeClr>
            </a:solidFill>
            <a:effectLst/>
          </a:endParaRPr>
        </a:p>
        <a:p>
          <a:endParaRPr lang="en-IN" sz="1100"/>
        </a:p>
      </xdr:txBody>
    </xdr:sp>
    <xdr:clientData/>
  </xdr:twoCellAnchor>
  <xdr:twoCellAnchor>
    <xdr:from>
      <xdr:col>7</xdr:col>
      <xdr:colOff>213895</xdr:colOff>
      <xdr:row>30</xdr:row>
      <xdr:rowOff>40106</xdr:rowOff>
    </xdr:from>
    <xdr:to>
      <xdr:col>12</xdr:col>
      <xdr:colOff>542759</xdr:colOff>
      <xdr:row>32</xdr:row>
      <xdr:rowOff>80211</xdr:rowOff>
    </xdr:to>
    <xdr:sp macro="" textlink="">
      <xdr:nvSpPr>
        <xdr:cNvPr id="43" name="TextBox 42">
          <a:extLst>
            <a:ext uri="{FF2B5EF4-FFF2-40B4-BE49-F238E27FC236}">
              <a16:creationId xmlns:a16="http://schemas.microsoft.com/office/drawing/2014/main" id="{368A9262-C2A9-41DE-973C-14471D75C94D}"/>
            </a:ext>
          </a:extLst>
        </xdr:cNvPr>
        <xdr:cNvSpPr txBox="1"/>
      </xdr:nvSpPr>
      <xdr:spPr>
        <a:xfrm>
          <a:off x="4518527" y="5654843"/>
          <a:ext cx="3403600" cy="41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Department wise Attrition </a:t>
          </a:r>
          <a:endParaRPr lang="en-IN" sz="2000" b="1">
            <a:solidFill>
              <a:schemeClr val="accent2">
                <a:lumMod val="50000"/>
              </a:schemeClr>
            </a:solidFill>
            <a:effectLst/>
          </a:endParaRPr>
        </a:p>
        <a:p>
          <a:endParaRPr lang="en-IN" sz="1100"/>
        </a:p>
      </xdr:txBody>
    </xdr:sp>
    <xdr:clientData/>
  </xdr:twoCellAnchor>
  <xdr:twoCellAnchor>
    <xdr:from>
      <xdr:col>14</xdr:col>
      <xdr:colOff>254002</xdr:colOff>
      <xdr:row>30</xdr:row>
      <xdr:rowOff>26738</xdr:rowOff>
    </xdr:from>
    <xdr:to>
      <xdr:col>19</xdr:col>
      <xdr:colOff>582865</xdr:colOff>
      <xdr:row>32</xdr:row>
      <xdr:rowOff>66843</xdr:rowOff>
    </xdr:to>
    <xdr:sp macro="" textlink="">
      <xdr:nvSpPr>
        <xdr:cNvPr id="45" name="TextBox 44">
          <a:extLst>
            <a:ext uri="{FF2B5EF4-FFF2-40B4-BE49-F238E27FC236}">
              <a16:creationId xmlns:a16="http://schemas.microsoft.com/office/drawing/2014/main" id="{5C0FB0AC-F901-4197-9576-A6773A6FC9F9}"/>
            </a:ext>
          </a:extLst>
        </xdr:cNvPr>
        <xdr:cNvSpPr txBox="1"/>
      </xdr:nvSpPr>
      <xdr:spPr>
        <a:xfrm>
          <a:off x="8863265" y="5641475"/>
          <a:ext cx="3403600" cy="41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Attrition by Age Group</a:t>
          </a:r>
          <a:endParaRPr lang="en-IN" sz="2000" b="1">
            <a:solidFill>
              <a:schemeClr val="accent2">
                <a:lumMod val="50000"/>
              </a:schemeClr>
            </a:solidFill>
            <a:effectLst/>
          </a:endParaRPr>
        </a:p>
        <a:p>
          <a:endParaRPr lang="en-IN" sz="1100"/>
        </a:p>
      </xdr:txBody>
    </xdr:sp>
    <xdr:clientData/>
  </xdr:twoCellAnchor>
  <xdr:twoCellAnchor>
    <xdr:from>
      <xdr:col>20</xdr:col>
      <xdr:colOff>66844</xdr:colOff>
      <xdr:row>30</xdr:row>
      <xdr:rowOff>40105</xdr:rowOff>
    </xdr:from>
    <xdr:to>
      <xdr:col>24</xdr:col>
      <xdr:colOff>601579</xdr:colOff>
      <xdr:row>32</xdr:row>
      <xdr:rowOff>53473</xdr:rowOff>
    </xdr:to>
    <xdr:sp macro="" textlink="">
      <xdr:nvSpPr>
        <xdr:cNvPr id="47" name="TextBox 46">
          <a:extLst>
            <a:ext uri="{FF2B5EF4-FFF2-40B4-BE49-F238E27FC236}">
              <a16:creationId xmlns:a16="http://schemas.microsoft.com/office/drawing/2014/main" id="{375B7278-04CE-4258-8399-D18C97D5743D}"/>
            </a:ext>
          </a:extLst>
        </xdr:cNvPr>
        <xdr:cNvSpPr txBox="1"/>
      </xdr:nvSpPr>
      <xdr:spPr>
        <a:xfrm>
          <a:off x="12365791" y="5654842"/>
          <a:ext cx="2994525"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Attrtion by Marital Status</a:t>
          </a:r>
          <a:endParaRPr lang="en-IN" sz="2000" b="1">
            <a:solidFill>
              <a:schemeClr val="accent2">
                <a:lumMod val="50000"/>
              </a:schemeClr>
            </a:solidFill>
            <a:effectLst/>
          </a:endParaRPr>
        </a:p>
        <a:p>
          <a:endParaRPr lang="en-IN" sz="1100"/>
        </a:p>
      </xdr:txBody>
    </xdr:sp>
    <xdr:clientData/>
  </xdr:twoCellAnchor>
  <xdr:twoCellAnchor>
    <xdr:from>
      <xdr:col>26</xdr:col>
      <xdr:colOff>360946</xdr:colOff>
      <xdr:row>30</xdr:row>
      <xdr:rowOff>66843</xdr:rowOff>
    </xdr:from>
    <xdr:to>
      <xdr:col>28</xdr:col>
      <xdr:colOff>521368</xdr:colOff>
      <xdr:row>32</xdr:row>
      <xdr:rowOff>58821</xdr:rowOff>
    </xdr:to>
    <xdr:sp macro="" textlink="">
      <xdr:nvSpPr>
        <xdr:cNvPr id="49" name="TextBox 48">
          <a:extLst>
            <a:ext uri="{FF2B5EF4-FFF2-40B4-BE49-F238E27FC236}">
              <a16:creationId xmlns:a16="http://schemas.microsoft.com/office/drawing/2014/main" id="{59DC5736-D4CF-42D7-81C9-EE2EA48F1A3B}"/>
            </a:ext>
          </a:extLst>
        </xdr:cNvPr>
        <xdr:cNvSpPr txBox="1"/>
      </xdr:nvSpPr>
      <xdr:spPr>
        <a:xfrm>
          <a:off x="16349578" y="5681580"/>
          <a:ext cx="1390316" cy="36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accent2">
                  <a:lumMod val="50000"/>
                </a:schemeClr>
              </a:solidFill>
              <a:effectLst/>
              <a:latin typeface="+mn-lt"/>
              <a:ea typeface="+mn-ea"/>
              <a:cs typeface="+mn-cs"/>
            </a:rPr>
            <a:t>Filter Panel</a:t>
          </a:r>
          <a:endParaRPr lang="en-IN" sz="2000" b="1">
            <a:solidFill>
              <a:schemeClr val="accent2">
                <a:lumMod val="50000"/>
              </a:schemeClr>
            </a:solidFill>
            <a:effectLst/>
          </a:endParaRPr>
        </a:p>
        <a:p>
          <a:endParaRPr lang="en-IN" sz="1100"/>
        </a:p>
      </xdr:txBody>
    </xdr:sp>
    <xdr:clientData/>
  </xdr:twoCellAnchor>
  <xdr:oneCellAnchor>
    <xdr:from>
      <xdr:col>7</xdr:col>
      <xdr:colOff>93579</xdr:colOff>
      <xdr:row>2</xdr:row>
      <xdr:rowOff>160421</xdr:rowOff>
    </xdr:from>
    <xdr:ext cx="868947" cy="655052"/>
    <xdr:pic>
      <xdr:nvPicPr>
        <xdr:cNvPr id="44" name="image1.png">
          <a:extLst>
            <a:ext uri="{FF2B5EF4-FFF2-40B4-BE49-F238E27FC236}">
              <a16:creationId xmlns:a16="http://schemas.microsoft.com/office/drawing/2014/main" id="{FCF07833-B6A3-4485-BA98-D0CA5C3B7F13}"/>
            </a:ext>
          </a:extLst>
        </xdr:cNvPr>
        <xdr:cNvPicPr preferRelativeResize="0"/>
      </xdr:nvPicPr>
      <xdr:blipFill>
        <a:blip xmlns:r="http://schemas.openxmlformats.org/officeDocument/2006/relationships" r:embed="rId16" cstate="print"/>
        <a:stretch>
          <a:fillRect/>
        </a:stretch>
      </xdr:blipFill>
      <xdr:spPr>
        <a:xfrm>
          <a:off x="4398211" y="534737"/>
          <a:ext cx="868947" cy="655052"/>
        </a:xfrm>
        <a:prstGeom prst="rect">
          <a:avLst/>
        </a:prstGeom>
        <a:noFill/>
      </xdr:spPr>
    </xdr:pic>
    <xdr:clientData fLocksWithSheet="0"/>
  </xdr:oneCellAnchor>
  <xdr:twoCellAnchor>
    <xdr:from>
      <xdr:col>7</xdr:col>
      <xdr:colOff>280736</xdr:colOff>
      <xdr:row>23</xdr:row>
      <xdr:rowOff>93579</xdr:rowOff>
    </xdr:from>
    <xdr:to>
      <xdr:col>8</xdr:col>
      <xdr:colOff>254000</xdr:colOff>
      <xdr:row>25</xdr:row>
      <xdr:rowOff>40105</xdr:rowOff>
    </xdr:to>
    <xdr:sp macro="" textlink="">
      <xdr:nvSpPr>
        <xdr:cNvPr id="50" name="TextBox 49">
          <a:extLst>
            <a:ext uri="{FF2B5EF4-FFF2-40B4-BE49-F238E27FC236}">
              <a16:creationId xmlns:a16="http://schemas.microsoft.com/office/drawing/2014/main" id="{5C216959-8399-8AEC-8B47-F94A1C2CE66C}"/>
            </a:ext>
          </a:extLst>
        </xdr:cNvPr>
        <xdr:cNvSpPr txBox="1"/>
      </xdr:nvSpPr>
      <xdr:spPr>
        <a:xfrm>
          <a:off x="4585368" y="4398211"/>
          <a:ext cx="588211" cy="32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40%</a:t>
          </a:r>
        </a:p>
      </xdr:txBody>
    </xdr:sp>
    <xdr:clientData/>
  </xdr:twoCellAnchor>
  <xdr:twoCellAnchor>
    <xdr:from>
      <xdr:col>11</xdr:col>
      <xdr:colOff>580189</xdr:colOff>
      <xdr:row>23</xdr:row>
      <xdr:rowOff>125663</xdr:rowOff>
    </xdr:from>
    <xdr:to>
      <xdr:col>12</xdr:col>
      <xdr:colOff>553453</xdr:colOff>
      <xdr:row>25</xdr:row>
      <xdr:rowOff>72189</xdr:rowOff>
    </xdr:to>
    <xdr:sp macro="" textlink="">
      <xdr:nvSpPr>
        <xdr:cNvPr id="51" name="TextBox 50">
          <a:extLst>
            <a:ext uri="{FF2B5EF4-FFF2-40B4-BE49-F238E27FC236}">
              <a16:creationId xmlns:a16="http://schemas.microsoft.com/office/drawing/2014/main" id="{7A8BDB3A-6143-4D90-B868-EE6DC91C04C2}"/>
            </a:ext>
          </a:extLst>
        </xdr:cNvPr>
        <xdr:cNvSpPr txBox="1"/>
      </xdr:nvSpPr>
      <xdr:spPr>
        <a:xfrm>
          <a:off x="7344610" y="4430295"/>
          <a:ext cx="588211" cy="32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60%</a:t>
          </a:r>
        </a:p>
      </xdr:txBody>
    </xdr:sp>
    <xdr:clientData/>
  </xdr:twoCellAnchor>
  <xdr:twoCellAnchor>
    <xdr:from>
      <xdr:col>24</xdr:col>
      <xdr:colOff>548105</xdr:colOff>
      <xdr:row>3</xdr:row>
      <xdr:rowOff>53473</xdr:rowOff>
    </xdr:from>
    <xdr:to>
      <xdr:col>25</xdr:col>
      <xdr:colOff>521369</xdr:colOff>
      <xdr:row>4</xdr:row>
      <xdr:rowOff>187156</xdr:rowOff>
    </xdr:to>
    <xdr:sp macro="" textlink="">
      <xdr:nvSpPr>
        <xdr:cNvPr id="53" name="TextBox 52">
          <a:extLst>
            <a:ext uri="{FF2B5EF4-FFF2-40B4-BE49-F238E27FC236}">
              <a16:creationId xmlns:a16="http://schemas.microsoft.com/office/drawing/2014/main" id="{1B344DB9-2F22-446D-8E9E-97F3ABA278B1}"/>
            </a:ext>
          </a:extLst>
        </xdr:cNvPr>
        <xdr:cNvSpPr txBox="1"/>
      </xdr:nvSpPr>
      <xdr:spPr>
        <a:xfrm>
          <a:off x="15306842" y="614947"/>
          <a:ext cx="588211" cy="32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2.6</a:t>
          </a:r>
        </a:p>
      </xdr:txBody>
    </xdr:sp>
    <xdr:clientData/>
  </xdr:twoCellAnchor>
  <xdr:twoCellAnchor>
    <xdr:from>
      <xdr:col>7</xdr:col>
      <xdr:colOff>414422</xdr:colOff>
      <xdr:row>9</xdr:row>
      <xdr:rowOff>160421</xdr:rowOff>
    </xdr:from>
    <xdr:to>
      <xdr:col>10</xdr:col>
      <xdr:colOff>93580</xdr:colOff>
      <xdr:row>12</xdr:row>
      <xdr:rowOff>26737</xdr:rowOff>
    </xdr:to>
    <xdr:sp macro="" textlink="KPI!A8">
      <xdr:nvSpPr>
        <xdr:cNvPr id="54" name="TextBox 53">
          <a:extLst>
            <a:ext uri="{FF2B5EF4-FFF2-40B4-BE49-F238E27FC236}">
              <a16:creationId xmlns:a16="http://schemas.microsoft.com/office/drawing/2014/main" id="{02A48302-27CB-F694-BBF4-2DBB43592073}"/>
            </a:ext>
          </a:extLst>
        </xdr:cNvPr>
        <xdr:cNvSpPr txBox="1"/>
      </xdr:nvSpPr>
      <xdr:spPr>
        <a:xfrm>
          <a:off x="4719054" y="1844842"/>
          <a:ext cx="1524000" cy="42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9924AE-BB8B-4081-98E9-73E3DDDA221F}" type="TxLink">
            <a:rPr lang="en-US" sz="2400" b="1" i="0" u="none" strike="noStrike">
              <a:solidFill>
                <a:srgbClr val="000000"/>
              </a:solidFill>
              <a:latin typeface="Calibri"/>
              <a:ea typeface="Calibri"/>
              <a:cs typeface="Calibri"/>
            </a:rPr>
            <a:pPr algn="ctr"/>
            <a:t>1470</a:t>
          </a:fld>
          <a:endParaRPr lang="en-IN" sz="2400" b="1"/>
        </a:p>
      </xdr:txBody>
    </xdr:sp>
    <xdr:clientData/>
  </xdr:twoCellAnchor>
  <xdr:twoCellAnchor>
    <xdr:from>
      <xdr:col>12</xdr:col>
      <xdr:colOff>139033</xdr:colOff>
      <xdr:row>10</xdr:row>
      <xdr:rowOff>5347</xdr:rowOff>
    </xdr:from>
    <xdr:to>
      <xdr:col>14</xdr:col>
      <xdr:colOff>433138</xdr:colOff>
      <xdr:row>12</xdr:row>
      <xdr:rowOff>58821</xdr:rowOff>
    </xdr:to>
    <xdr:sp macro="" textlink="KPI!B8">
      <xdr:nvSpPr>
        <xdr:cNvPr id="55" name="TextBox 54">
          <a:extLst>
            <a:ext uri="{FF2B5EF4-FFF2-40B4-BE49-F238E27FC236}">
              <a16:creationId xmlns:a16="http://schemas.microsoft.com/office/drawing/2014/main" id="{FC6134FB-E61D-44EE-8332-C3E5C3D17328}"/>
            </a:ext>
          </a:extLst>
        </xdr:cNvPr>
        <xdr:cNvSpPr txBox="1"/>
      </xdr:nvSpPr>
      <xdr:spPr>
        <a:xfrm>
          <a:off x="7518401" y="1876926"/>
          <a:ext cx="1524000" cy="42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1A5834-0A63-4380-A12D-EE58FA80D9B3}" type="TxLink">
            <a:rPr lang="en-US" sz="2400" b="1" i="0" u="none" strike="noStrike">
              <a:solidFill>
                <a:srgbClr val="000000"/>
              </a:solidFill>
              <a:latin typeface="Calibri"/>
              <a:ea typeface="Calibri"/>
              <a:cs typeface="Calibri"/>
            </a:rPr>
            <a:pPr algn="ctr"/>
            <a:t>237</a:t>
          </a:fld>
          <a:endParaRPr lang="en-IN" sz="4400" b="1"/>
        </a:p>
      </xdr:txBody>
    </xdr:sp>
    <xdr:clientData/>
  </xdr:twoCellAnchor>
  <xdr:twoCellAnchor>
    <xdr:from>
      <xdr:col>21</xdr:col>
      <xdr:colOff>612273</xdr:colOff>
      <xdr:row>9</xdr:row>
      <xdr:rowOff>184484</xdr:rowOff>
    </xdr:from>
    <xdr:to>
      <xdr:col>24</xdr:col>
      <xdr:colOff>291431</xdr:colOff>
      <xdr:row>12</xdr:row>
      <xdr:rowOff>50800</xdr:rowOff>
    </xdr:to>
    <xdr:sp macro="" textlink="KPI!F8">
      <xdr:nvSpPr>
        <xdr:cNvPr id="60" name="TextBox 59">
          <a:extLst>
            <a:ext uri="{FF2B5EF4-FFF2-40B4-BE49-F238E27FC236}">
              <a16:creationId xmlns:a16="http://schemas.microsoft.com/office/drawing/2014/main" id="{C8F71716-EC5B-43DA-AF7B-99F1771AC8F3}"/>
            </a:ext>
          </a:extLst>
        </xdr:cNvPr>
        <xdr:cNvSpPr txBox="1"/>
      </xdr:nvSpPr>
      <xdr:spPr>
        <a:xfrm>
          <a:off x="13526168" y="1868905"/>
          <a:ext cx="1524000" cy="42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EA5161-2293-4E4E-9B28-F343B2328D37}" type="TxLink">
            <a:rPr lang="en-US" sz="2400" b="1" i="0" u="none" strike="noStrike">
              <a:solidFill>
                <a:srgbClr val="000000"/>
              </a:solidFill>
              <a:latin typeface="Calibri"/>
              <a:ea typeface="Calibri"/>
              <a:cs typeface="Calibri"/>
            </a:rPr>
            <a:pPr algn="ctr"/>
            <a:t>16.12%</a:t>
          </a:fld>
          <a:endParaRPr lang="en-IN" sz="4400" b="1" i="0" u="none" strike="noStrike">
            <a:solidFill>
              <a:srgbClr val="000000"/>
            </a:solidFill>
            <a:latin typeface="Calibri"/>
            <a:ea typeface="Calibri"/>
            <a:cs typeface="Calibri"/>
          </a:endParaRPr>
        </a:p>
      </xdr:txBody>
    </xdr:sp>
    <xdr:clientData/>
  </xdr:twoCellAnchor>
  <xdr:twoCellAnchor>
    <xdr:from>
      <xdr:col>17</xdr:col>
      <xdr:colOff>64168</xdr:colOff>
      <xdr:row>9</xdr:row>
      <xdr:rowOff>184485</xdr:rowOff>
    </xdr:from>
    <xdr:to>
      <xdr:col>19</xdr:col>
      <xdr:colOff>358273</xdr:colOff>
      <xdr:row>12</xdr:row>
      <xdr:rowOff>50801</xdr:rowOff>
    </xdr:to>
    <xdr:sp macro="" textlink="KPI!D8">
      <xdr:nvSpPr>
        <xdr:cNvPr id="64" name="TextBox 63">
          <a:extLst>
            <a:ext uri="{FF2B5EF4-FFF2-40B4-BE49-F238E27FC236}">
              <a16:creationId xmlns:a16="http://schemas.microsoft.com/office/drawing/2014/main" id="{D5BFEA9F-535D-B52D-2A9C-55603D28780A}"/>
            </a:ext>
          </a:extLst>
        </xdr:cNvPr>
        <xdr:cNvSpPr txBox="1"/>
      </xdr:nvSpPr>
      <xdr:spPr>
        <a:xfrm>
          <a:off x="10518273" y="1868906"/>
          <a:ext cx="1524000" cy="42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ADDEAB-7EC7-4002-8AD9-3CCD9EF1CE07}" type="TxLink">
            <a:rPr lang="en-US" sz="2400" b="1" i="0" u="none" strike="noStrike">
              <a:solidFill>
                <a:srgbClr val="000000"/>
              </a:solidFill>
              <a:latin typeface="Calibri"/>
              <a:ea typeface="Calibri"/>
              <a:cs typeface="Calibri"/>
            </a:rPr>
            <a:pPr algn="ctr"/>
            <a:t>1233</a:t>
          </a:fld>
          <a:endParaRPr lang="en-IN" sz="4400" b="1" i="0" u="none" strike="noStrike">
            <a:solidFill>
              <a:srgbClr val="000000"/>
            </a:solidFill>
            <a:latin typeface="Calibri"/>
            <a:ea typeface="Calibri"/>
            <a:cs typeface="Calibri"/>
          </a:endParaRPr>
        </a:p>
      </xdr:txBody>
    </xdr:sp>
    <xdr:clientData/>
  </xdr:twoCellAnchor>
  <xdr:twoCellAnchor>
    <xdr:from>
      <xdr:col>26</xdr:col>
      <xdr:colOff>229935</xdr:colOff>
      <xdr:row>9</xdr:row>
      <xdr:rowOff>176462</xdr:rowOff>
    </xdr:from>
    <xdr:to>
      <xdr:col>28</xdr:col>
      <xdr:colOff>524041</xdr:colOff>
      <xdr:row>12</xdr:row>
      <xdr:rowOff>42778</xdr:rowOff>
    </xdr:to>
    <xdr:sp macro="" textlink="KPI!C8">
      <xdr:nvSpPr>
        <xdr:cNvPr id="65" name="TextBox 64">
          <a:extLst>
            <a:ext uri="{FF2B5EF4-FFF2-40B4-BE49-F238E27FC236}">
              <a16:creationId xmlns:a16="http://schemas.microsoft.com/office/drawing/2014/main" id="{13157E2F-2846-40F9-83B6-EF34C17E7072}"/>
            </a:ext>
          </a:extLst>
        </xdr:cNvPr>
        <xdr:cNvSpPr txBox="1"/>
      </xdr:nvSpPr>
      <xdr:spPr>
        <a:xfrm>
          <a:off x="16218567" y="1860883"/>
          <a:ext cx="1524000" cy="427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C09B08-66E1-4DE1-8B78-8381B7699CCA}" type="TxLink">
            <a:rPr lang="en-US" sz="2400" b="1" i="0" u="none" strike="noStrike">
              <a:solidFill>
                <a:srgbClr val="000000"/>
              </a:solidFill>
              <a:latin typeface="Calibri"/>
              <a:ea typeface="Calibri"/>
              <a:cs typeface="Calibri"/>
            </a:rPr>
            <a:pPr algn="ctr"/>
            <a:t>37</a:t>
          </a:fld>
          <a:endParaRPr lang="en-IN" sz="4400" b="1"/>
        </a:p>
      </xdr:txBody>
    </xdr:sp>
    <xdr:clientData/>
  </xdr:twoCellAnchor>
  <xdr:oneCellAnchor>
    <xdr:from>
      <xdr:col>29</xdr:col>
      <xdr:colOff>93579</xdr:colOff>
      <xdr:row>7</xdr:row>
      <xdr:rowOff>147053</xdr:rowOff>
    </xdr:from>
    <xdr:ext cx="374316" cy="414422"/>
    <xdr:pic>
      <xdr:nvPicPr>
        <xdr:cNvPr id="30" name="image6.png">
          <a:extLst>
            <a:ext uri="{FF2B5EF4-FFF2-40B4-BE49-F238E27FC236}">
              <a16:creationId xmlns:a16="http://schemas.microsoft.com/office/drawing/2014/main" id="{B0DBDC9E-DE3B-4F17-B615-BD1F5327F751}"/>
            </a:ext>
          </a:extLst>
        </xdr:cNvPr>
        <xdr:cNvPicPr preferRelativeResize="0"/>
      </xdr:nvPicPr>
      <xdr:blipFill>
        <a:blip xmlns:r="http://schemas.openxmlformats.org/officeDocument/2006/relationships" r:embed="rId17" cstate="print"/>
        <a:stretch>
          <a:fillRect/>
        </a:stretch>
      </xdr:blipFill>
      <xdr:spPr>
        <a:xfrm>
          <a:off x="17927053" y="1457158"/>
          <a:ext cx="374316" cy="414422"/>
        </a:xfrm>
        <a:prstGeom prst="rect">
          <a:avLst/>
        </a:prstGeom>
        <a:noFill/>
      </xdr:spPr>
    </xdr:pic>
    <xdr:clientData fLocksWithSheet="0"/>
  </xdr:oneCellAnchor>
  <xdr:oneCellAnchor>
    <xdr:from>
      <xdr:col>10</xdr:col>
      <xdr:colOff>360947</xdr:colOff>
      <xdr:row>7</xdr:row>
      <xdr:rowOff>173790</xdr:rowOff>
    </xdr:from>
    <xdr:ext cx="333375" cy="314325"/>
    <xdr:pic>
      <xdr:nvPicPr>
        <xdr:cNvPr id="32" name="image4.png">
          <a:extLst>
            <a:ext uri="{FF2B5EF4-FFF2-40B4-BE49-F238E27FC236}">
              <a16:creationId xmlns:a16="http://schemas.microsoft.com/office/drawing/2014/main" id="{2E74047F-E9BE-4A05-ABD4-B01C4B5EBEC7}"/>
            </a:ext>
          </a:extLst>
        </xdr:cNvPr>
        <xdr:cNvPicPr preferRelativeResize="0"/>
      </xdr:nvPicPr>
      <xdr:blipFill>
        <a:blip xmlns:r="http://schemas.openxmlformats.org/officeDocument/2006/relationships" r:embed="rId18" cstate="print"/>
        <a:stretch>
          <a:fillRect/>
        </a:stretch>
      </xdr:blipFill>
      <xdr:spPr>
        <a:xfrm>
          <a:off x="6510421" y="1483895"/>
          <a:ext cx="333375" cy="314325"/>
        </a:xfrm>
        <a:prstGeom prst="rect">
          <a:avLst/>
        </a:prstGeom>
        <a:noFill/>
      </xdr:spPr>
    </xdr:pic>
    <xdr:clientData fLocksWithSheet="0"/>
  </xdr:oneCellAnchor>
  <xdr:oneCellAnchor>
    <xdr:from>
      <xdr:col>15</xdr:col>
      <xdr:colOff>66842</xdr:colOff>
      <xdr:row>7</xdr:row>
      <xdr:rowOff>147053</xdr:rowOff>
    </xdr:from>
    <xdr:ext cx="485775" cy="400050"/>
    <xdr:pic>
      <xdr:nvPicPr>
        <xdr:cNvPr id="33" name="image7.png">
          <a:extLst>
            <a:ext uri="{FF2B5EF4-FFF2-40B4-BE49-F238E27FC236}">
              <a16:creationId xmlns:a16="http://schemas.microsoft.com/office/drawing/2014/main" id="{EB5288BD-8838-456F-B873-6724D494D8A9}"/>
            </a:ext>
          </a:extLst>
        </xdr:cNvPr>
        <xdr:cNvPicPr preferRelativeResize="0"/>
      </xdr:nvPicPr>
      <xdr:blipFill>
        <a:blip xmlns:r="http://schemas.openxmlformats.org/officeDocument/2006/relationships" r:embed="rId19" cstate="print"/>
        <a:stretch>
          <a:fillRect/>
        </a:stretch>
      </xdr:blipFill>
      <xdr:spPr>
        <a:xfrm>
          <a:off x="9291053" y="1457158"/>
          <a:ext cx="485775" cy="400050"/>
        </a:xfrm>
        <a:prstGeom prst="rect">
          <a:avLst/>
        </a:prstGeom>
        <a:noFill/>
      </xdr:spPr>
    </xdr:pic>
    <xdr:clientData fLocksWithSheet="0"/>
  </xdr:oneCellAnchor>
  <xdr:oneCellAnchor>
    <xdr:from>
      <xdr:col>19</xdr:col>
      <xdr:colOff>548106</xdr:colOff>
      <xdr:row>7</xdr:row>
      <xdr:rowOff>173790</xdr:rowOff>
    </xdr:from>
    <xdr:ext cx="419100" cy="304800"/>
    <xdr:pic>
      <xdr:nvPicPr>
        <xdr:cNvPr id="35" name="image5.png">
          <a:extLst>
            <a:ext uri="{FF2B5EF4-FFF2-40B4-BE49-F238E27FC236}">
              <a16:creationId xmlns:a16="http://schemas.microsoft.com/office/drawing/2014/main" id="{43665F68-B640-437A-BFFB-1AAF49D61D47}"/>
            </a:ext>
          </a:extLst>
        </xdr:cNvPr>
        <xdr:cNvPicPr preferRelativeResize="0"/>
      </xdr:nvPicPr>
      <xdr:blipFill>
        <a:blip xmlns:r="http://schemas.openxmlformats.org/officeDocument/2006/relationships" r:embed="rId20" cstate="print"/>
        <a:stretch>
          <a:fillRect/>
        </a:stretch>
      </xdr:blipFill>
      <xdr:spPr>
        <a:xfrm>
          <a:off x="12232106" y="1483895"/>
          <a:ext cx="419100" cy="304800"/>
        </a:xfrm>
        <a:prstGeom prst="rect">
          <a:avLst/>
        </a:prstGeom>
        <a:noFill/>
      </xdr:spPr>
    </xdr:pic>
    <xdr:clientData fLocksWithSheet="0"/>
  </xdr:oneCellAnchor>
  <xdr:oneCellAnchor>
    <xdr:from>
      <xdr:col>24</xdr:col>
      <xdr:colOff>374316</xdr:colOff>
      <xdr:row>7</xdr:row>
      <xdr:rowOff>173789</xdr:rowOff>
    </xdr:from>
    <xdr:ext cx="390525" cy="314325"/>
    <xdr:pic>
      <xdr:nvPicPr>
        <xdr:cNvPr id="36" name="image2.png">
          <a:extLst>
            <a:ext uri="{FF2B5EF4-FFF2-40B4-BE49-F238E27FC236}">
              <a16:creationId xmlns:a16="http://schemas.microsoft.com/office/drawing/2014/main" id="{B3581A2B-6508-472E-9CF0-7EAC1C5E012C}"/>
            </a:ext>
          </a:extLst>
        </xdr:cNvPr>
        <xdr:cNvPicPr preferRelativeResize="0"/>
      </xdr:nvPicPr>
      <xdr:blipFill>
        <a:blip xmlns:r="http://schemas.openxmlformats.org/officeDocument/2006/relationships" r:embed="rId21" cstate="print"/>
        <a:stretch>
          <a:fillRect/>
        </a:stretch>
      </xdr:blipFill>
      <xdr:spPr>
        <a:xfrm>
          <a:off x="15133053" y="1483894"/>
          <a:ext cx="390525" cy="3143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esh" refreshedDate="46102.4863744213" createdVersion="8" refreshedVersion="8" minRefreshableVersion="3" recordCount="1470" xr:uid="{30DE5457-C00A-43CF-AD6C-2C2BEC89748D}">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79606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301BAD-804D-4679-BF33-5CCC4BAAD5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375A4A-F915-4489-A013-BA4BFF3A50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D161A9-48E6-456B-B8BF-DE179868A7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F399E6-758E-4FF9-A161-A3F14C742E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9C4030-1414-43B9-830D-3D2AF7CFED2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5972AC-652D-4C42-9BFC-B92DC906BB23}"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4"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D1682A-57B0-4F41-8671-85A90F93C646}"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B3E56D-2D08-4B08-BCBE-421984B5F389}"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9F4F2CA-936B-49B5-8C0A-2A2DFBB808DE}" sourceName="Gender">
  <pivotTables>
    <pivotTable tabId="11" name="PivotTable6"/>
  </pivotTables>
  <data>
    <tabular pivotCacheId="167960611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E1D42B-C6B9-44E8-AC34-E0EBD82BB758}" sourceName="Education">
  <pivotTables>
    <pivotTable tabId="11" name="PivotTable6"/>
  </pivotTables>
  <data>
    <tabular pivotCacheId="1679606112">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941141-0C18-4E93-9727-15A1CFC7AAF9}" sourceName="Gender">
  <pivotTables>
    <pivotTable tabId="9" name="PivotTable4"/>
  </pivotTables>
  <data>
    <tabular pivotCacheId="167960611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BE5D696-89E0-4F94-8920-3638242D6D6A}" sourceName="Department">
  <pivotTables>
    <pivotTable tabId="16" name="Marital Status"/>
    <pivotTable tabId="13" name="PivotTable8"/>
    <pivotTable tabId="14" name="Dept wise Attrition"/>
    <pivotTable tabId="12" name="PivotTable7"/>
    <pivotTable tabId="11" name="PivotTable6"/>
    <pivotTable tabId="15" name="Attrition by Age"/>
  </pivotTables>
  <data>
    <tabular pivotCacheId="167960611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0ED2234-C190-430E-BCAD-74EAB880F7F5}" sourceName="Education Field">
  <pivotTables>
    <pivotTable tabId="16" name="Marital Status"/>
    <pivotTable tabId="13" name="PivotTable8"/>
    <pivotTable tabId="14" name="Dept wise Attrition"/>
    <pivotTable tabId="12" name="PivotTable7"/>
    <pivotTable tabId="9" name="PivotTable4"/>
    <pivotTable tabId="10" name="PivotTable5"/>
    <pivotTable tabId="11" name="PivotTable6"/>
    <pivotTable tabId="15" name="Attrition by Age"/>
  </pivotTables>
  <data>
    <tabular pivotCacheId="167960611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6154C8D-848C-430C-8874-2F4C66280C2F}"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58FC33D-F554-4F06-A20C-E4A477F03E03}" cache="Slicer_Gender1" caption="Gender" rowHeight="234950"/>
  <slicer name="Education" xr10:uid="{5E9884D2-1ED0-442F-9542-83005C424471}" cache="Slicer_Education" caption="Educ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3" xr10:uid="{A5B72E05-4B51-4AA1-92D2-1646DE548C11}" cache="Slicer_Education_Field"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815DC68C-D863-42DE-8508-D47D7BD63DB8}" cache="Slicer_Education_Field"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9E3BC79-FDB1-4F8A-BCA2-AA424AAA9050}" cache="Slicer_Department" caption="Department" rowHeight="234950"/>
  <slicer name="Education Field" xr10:uid="{F26B78B2-8F60-47F1-B88F-1F872B27F6BD}" cache="Slicer_Education_Field" caption="Education Field"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EDC2B55D-4B49-454C-992B-6ED1BE54E4AD}" cache="Slicer_Gender" caption="Gender" columnCount="2" style="Slicer5" rowHeight="288000"/>
  <slicer name="Department 1" xr10:uid="{7C0817AA-D448-461F-BBB3-79418EA362FA}" cache="Slicer_Department" caption="Department" style="Slicer5" rowHeight="252000"/>
  <slicer name="Education Field 1" xr10:uid="{9184CF10-812A-48DA-8E0B-B333D5180ED2}" cache="Slicer_Education_Field" caption="Education Field" style="Slicer5"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792F9E-868A-4D7F-A207-36BE3192C7C3}" name="Table_1" displayName="Table_1" ref="A1:AR1471">
  <tableColumns count="44">
    <tableColumn id="1" xr3:uid="{72E1DADD-E03F-443B-87C0-91738BF7D7BE}" name="Attrition"/>
    <tableColumn id="2" xr3:uid="{01B11E3F-B076-4BF1-AE76-30A2F691C1DC}" name="Business Travel"/>
    <tableColumn id="3" xr3:uid="{0EF71282-DCD2-44BB-8275-CBCEF1B0F38E}" name="CF_age band"/>
    <tableColumn id="4" xr3:uid="{1BAFC30B-E2A5-4E28-906F-1CF201D21009}" name="CF_attrition label"/>
    <tableColumn id="5" xr3:uid="{8EBCEDA1-5745-4CFC-BD9C-AF6AA2726E1C}" name="Department"/>
    <tableColumn id="6" xr3:uid="{5B2D3E20-9014-415A-A0FF-D62751E245D0}" name="Education Field"/>
    <tableColumn id="7" xr3:uid="{768B8F55-C9EC-48B8-900A-70F2F275FC4E}" name="emp no"/>
    <tableColumn id="8" xr3:uid="{65657DC1-8179-4701-92EB-FA40302633F8}" name="Employee Number"/>
    <tableColumn id="9" xr3:uid="{2B0CF85F-597C-44CC-AD74-5F1F0A2BB07E}" name="Gender"/>
    <tableColumn id="10" xr3:uid="{E059F666-B8D9-4F42-A088-E09EE337886A}" name="Job Role"/>
    <tableColumn id="11" xr3:uid="{C1DED44C-1801-4AB9-911F-F82FD5C4FA21}" name="Marital Status"/>
    <tableColumn id="12" xr3:uid="{E01EDEA5-4C79-4C86-BC5E-388265F08829}" name="Over Time"/>
    <tableColumn id="13" xr3:uid="{68E7E8C0-10BD-4146-8DE9-CB01042BAF64}" name="Over18"/>
    <tableColumn id="14" xr3:uid="{AC576D9B-308A-4F94-AE08-F899BEB3A837}" name="Training Times Last Year"/>
    <tableColumn id="15" xr3:uid="{0583CF6E-CEDB-408C-A482-93EAE8820182}" name="-2"/>
    <tableColumn id="16" xr3:uid="{2AA889B5-A77F-4ACE-B957-624739472725}" name="0"/>
    <tableColumn id="17" xr3:uid="{92CAA159-BF55-49DE-8077-90BCB481CDB7}" name="Age"/>
    <tableColumn id="18" xr3:uid="{715626EB-42D7-4D1A-97F8-A21D59CCCB7B}" name="CF_attrition count"/>
    <tableColumn id="19" xr3:uid="{AB8CB759-5D97-4F8E-8B0E-82431A6D9EA9}" name="CF_attrition counts"/>
    <tableColumn id="20" xr3:uid="{31037FF7-CE99-4C95-9AED-C777E37BC2AA}" name="CF_attrition rate"/>
    <tableColumn id="21" xr3:uid="{01E23D24-463D-46FA-A76C-77D8623DFA36}" name="CF_current Employee"/>
    <tableColumn id="22" xr3:uid="{72889859-CD9B-4748-AA93-7BADAD45EE38}" name="Daily Rate"/>
    <tableColumn id="23" xr3:uid="{CF9C0D1A-D9E0-4C7D-BB64-90E69D279F44}" name="Distance From Home"/>
    <tableColumn id="24" xr3:uid="{CCE36F34-C177-4D27-A2DC-82F9ACB38E72}" name="Education"/>
    <tableColumn id="25" xr3:uid="{3F75A95B-77EB-46C0-9CB7-BBC1B3C0994C}" name="Employee Count"/>
    <tableColumn id="26" xr3:uid="{88C038CF-2B6D-41D1-9AC4-CD3334786824}" name="Environment Satisfaction"/>
    <tableColumn id="27" xr3:uid="{C0C4340C-155E-4159-A559-31FDF224B1B0}" name="Hourly Rate"/>
    <tableColumn id="28" xr3:uid="{0C4FF008-C3F4-4A1A-99F3-6B74990D7AAD}" name="Job Involvement"/>
    <tableColumn id="29" xr3:uid="{1B5D131C-017C-4A93-ADA5-0D277DBC0020}" name="Job Level"/>
    <tableColumn id="30" xr3:uid="{775C2556-B010-48C1-B847-E413B8535294}" name="Job Satisfaction"/>
    <tableColumn id="31" xr3:uid="{C3A5C251-C5FC-45AB-A08F-67F42140456F}" name="Monthly Income"/>
    <tableColumn id="32" xr3:uid="{56C1262E-FBB2-4FF9-AF90-2B1C8F8CADE1}" name="Monthly Rate"/>
    <tableColumn id="33" xr3:uid="{97BB2018-0BF9-4CAD-871A-F5BC19F8DB97}" name="Num Companies Worked"/>
    <tableColumn id="34" xr3:uid="{387A9CA8-20DE-4B27-8773-9A989B8ADF65}" name="Percent Salary Hike"/>
    <tableColumn id="35" xr3:uid="{C5C11623-F83F-486C-AB85-603C35A3C675}" name="Performance Rating"/>
    <tableColumn id="36" xr3:uid="{816460B7-21E5-4A3F-9F03-E141F3479130}" name="Relationship Satisfaction"/>
    <tableColumn id="37" xr3:uid="{8D274710-993B-49FC-9728-51C664D9639D}" name="Standard Hours"/>
    <tableColumn id="38" xr3:uid="{B6BDD270-6529-4DAF-A8DF-EEAB5C772A7D}" name="Stock Option Level"/>
    <tableColumn id="39" xr3:uid="{FCB17B68-C3E6-42CF-9267-516890DDAB11}" name="Total Working Years"/>
    <tableColumn id="40" xr3:uid="{05229A9C-1891-41EA-A7CC-F5F681940E9D}" name="Work Life Balance"/>
    <tableColumn id="41" xr3:uid="{66894686-DD39-4411-B1C2-6CF6F23BF976}" name="Years At Company"/>
    <tableColumn id="42" xr3:uid="{D15C2821-53F1-4FE7-A10D-6015694FF821}" name="Years In Current Role"/>
    <tableColumn id="43" xr3:uid="{4B88A45B-0338-468B-BF6D-C8318C6531EE}" name="Years Since Last Promotion"/>
    <tableColumn id="44" xr3:uid="{9C9D761E-1A87-46F9-9500-F282A1B9C643}"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50C0-1246-4336-9CFF-CAE76CA72D4D}">
  <dimension ref="A3:D11"/>
  <sheetViews>
    <sheetView workbookViewId="0">
      <selection activeCell="D28" sqref="D28"/>
    </sheetView>
  </sheetViews>
  <sheetFormatPr defaultRowHeight="14.4" x14ac:dyDescent="0.3"/>
  <cols>
    <col min="1" max="1" width="12.5546875" bestFit="1" customWidth="1"/>
    <col min="2" max="2" width="23" bestFit="1" customWidth="1"/>
  </cols>
  <sheetData>
    <row r="3" spans="1:4" x14ac:dyDescent="0.3">
      <c r="A3" s="5" t="s">
        <v>1563</v>
      </c>
      <c r="B3" t="s">
        <v>1565</v>
      </c>
    </row>
    <row r="4" spans="1:4" x14ac:dyDescent="0.3">
      <c r="A4" s="6" t="s">
        <v>51</v>
      </c>
      <c r="B4">
        <v>588</v>
      </c>
    </row>
    <row r="5" spans="1:4" x14ac:dyDescent="0.3">
      <c r="A5" s="6" t="s">
        <v>62</v>
      </c>
      <c r="B5">
        <v>882</v>
      </c>
    </row>
    <row r="6" spans="1:4" x14ac:dyDescent="0.3">
      <c r="A6" s="6" t="s">
        <v>1564</v>
      </c>
      <c r="B6">
        <v>1470</v>
      </c>
    </row>
    <row r="10" spans="1:4" x14ac:dyDescent="0.3">
      <c r="A10" t="s">
        <v>51</v>
      </c>
      <c r="B10">
        <f>IFERROR(GETPIVOTDATA("Count of Employee Count",$A$3,"Gender","Female"),0)</f>
        <v>588</v>
      </c>
      <c r="D10" s="7">
        <f>IFERROR(B10/($B$10+$B$11),0)</f>
        <v>0.4</v>
      </c>
    </row>
    <row r="11" spans="1:4" x14ac:dyDescent="0.3">
      <c r="A11" t="s">
        <v>62</v>
      </c>
      <c r="B11">
        <f>IFERROR(GETPIVOTDATA("Count of Employee Count",$A$3,"Gender","male"),0)</f>
        <v>882</v>
      </c>
      <c r="D11" s="7">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10726-F21E-48F0-AC53-06D95001AC42}">
  <dimension ref="A3:F8"/>
  <sheetViews>
    <sheetView workbookViewId="0">
      <selection activeCell="F8" sqref="F8"/>
    </sheetView>
  </sheetViews>
  <sheetFormatPr defaultRowHeight="14.4" x14ac:dyDescent="0.3"/>
  <cols>
    <col min="1" max="1" width="24.77734375" bestFit="1" customWidth="1"/>
    <col min="2" max="2" width="22.88671875" bestFit="1" customWidth="1"/>
    <col min="3" max="3" width="13.88671875" bestFit="1" customWidth="1"/>
    <col min="6" max="6" width="11" bestFit="1" customWidth="1"/>
  </cols>
  <sheetData>
    <row r="3" spans="1:6" x14ac:dyDescent="0.3">
      <c r="A3" t="s">
        <v>1554</v>
      </c>
      <c r="B3" t="s">
        <v>1555</v>
      </c>
      <c r="C3" t="s">
        <v>1556</v>
      </c>
    </row>
    <row r="4" spans="1:6" x14ac:dyDescent="0.3">
      <c r="A4">
        <v>1470</v>
      </c>
      <c r="B4">
        <v>237</v>
      </c>
      <c r="C4">
        <v>36.923809523809524</v>
      </c>
    </row>
    <row r="7" spans="1:6" x14ac:dyDescent="0.3">
      <c r="A7" t="s">
        <v>1566</v>
      </c>
      <c r="B7" t="s">
        <v>1557</v>
      </c>
      <c r="C7" t="s">
        <v>1558</v>
      </c>
      <c r="D7" t="s">
        <v>1559</v>
      </c>
      <c r="F7" t="s">
        <v>1568</v>
      </c>
    </row>
    <row r="8" spans="1:6" x14ac:dyDescent="0.3">
      <c r="A8">
        <f>A4</f>
        <v>1470</v>
      </c>
      <c r="B8">
        <f>B4</f>
        <v>237</v>
      </c>
      <c r="C8" s="9">
        <f>C4</f>
        <v>36.923809523809524</v>
      </c>
      <c r="D8">
        <f>A8-B8</f>
        <v>1233</v>
      </c>
      <c r="F8" s="10">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61CB-74D3-44A0-A6E5-FEA2ABBE822F}">
  <dimension ref="A3:D7"/>
  <sheetViews>
    <sheetView workbookViewId="0">
      <selection activeCell="Q15" sqref="Q15"/>
    </sheetView>
  </sheetViews>
  <sheetFormatPr defaultRowHeight="14.4" x14ac:dyDescent="0.3"/>
  <cols>
    <col min="1" max="1" width="24" bestFit="1" customWidth="1"/>
  </cols>
  <sheetData>
    <row r="3" spans="1:4" x14ac:dyDescent="0.3">
      <c r="A3" t="s">
        <v>1560</v>
      </c>
    </row>
    <row r="4" spans="1:4" x14ac:dyDescent="0.3">
      <c r="A4" s="2">
        <v>2.5867346938775508</v>
      </c>
    </row>
    <row r="6" spans="1:4" x14ac:dyDescent="0.3">
      <c r="A6" t="s">
        <v>1561</v>
      </c>
      <c r="B6" s="2">
        <f>A4</f>
        <v>2.5867346938775508</v>
      </c>
      <c r="D6">
        <f>B6/4</f>
        <v>0.64668367346938771</v>
      </c>
    </row>
    <row r="7" spans="1:4" x14ac:dyDescent="0.3">
      <c r="A7" t="s">
        <v>1562</v>
      </c>
      <c r="B7" s="2">
        <f>4-B6</f>
        <v>1.4132653061224492</v>
      </c>
      <c r="D7">
        <f>B7/4</f>
        <v>0.35331632653061229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07B70-6101-464A-8173-7E5CEDDE36BD}">
  <dimension ref="A3:B9"/>
  <sheetViews>
    <sheetView tabSelected="1" workbookViewId="0">
      <selection activeCell="S15" sqref="S15"/>
    </sheetView>
  </sheetViews>
  <sheetFormatPr defaultRowHeight="14.4" x14ac:dyDescent="0.3"/>
  <cols>
    <col min="1" max="1" width="15.88671875" bestFit="1" customWidth="1"/>
    <col min="2" max="2" width="22.88671875" bestFit="1" customWidth="1"/>
  </cols>
  <sheetData>
    <row r="3" spans="1:2" x14ac:dyDescent="0.3">
      <c r="A3" s="5" t="s">
        <v>1563</v>
      </c>
      <c r="B3" t="s">
        <v>1555</v>
      </c>
    </row>
    <row r="4" spans="1:2" x14ac:dyDescent="0.3">
      <c r="A4" s="6" t="s">
        <v>134</v>
      </c>
      <c r="B4">
        <v>5</v>
      </c>
    </row>
    <row r="5" spans="1:2" x14ac:dyDescent="0.3">
      <c r="A5" s="6" t="s">
        <v>65</v>
      </c>
      <c r="B5">
        <v>31</v>
      </c>
    </row>
    <row r="6" spans="1:2" x14ac:dyDescent="0.3">
      <c r="A6" s="6" t="s">
        <v>55</v>
      </c>
      <c r="B6">
        <v>44</v>
      </c>
    </row>
    <row r="7" spans="1:2" x14ac:dyDescent="0.3">
      <c r="A7" s="6" t="s">
        <v>71</v>
      </c>
      <c r="B7">
        <v>58</v>
      </c>
    </row>
    <row r="8" spans="1:2" x14ac:dyDescent="0.3">
      <c r="A8" s="6" t="s">
        <v>77</v>
      </c>
      <c r="B8">
        <v>99</v>
      </c>
    </row>
    <row r="9" spans="1:2" x14ac:dyDescent="0.3">
      <c r="A9" s="6" t="s">
        <v>1564</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8879-CA0E-475C-9335-A4D39FC987EC}">
  <dimension ref="A3:F13"/>
  <sheetViews>
    <sheetView workbookViewId="0">
      <selection activeCell="C24" sqref="C24"/>
    </sheetView>
  </sheetViews>
  <sheetFormatPr defaultRowHeight="14.4" x14ac:dyDescent="0.3"/>
  <cols>
    <col min="1" max="2" width="22.88671875" bestFit="1" customWidth="1"/>
    <col min="5" max="5" width="23.6640625" customWidth="1"/>
  </cols>
  <sheetData>
    <row r="3" spans="1:6" x14ac:dyDescent="0.3">
      <c r="A3" s="5" t="s">
        <v>1563</v>
      </c>
      <c r="B3" t="s">
        <v>1555</v>
      </c>
      <c r="E3" t="s">
        <v>9</v>
      </c>
      <c r="F3" t="s">
        <v>0</v>
      </c>
    </row>
    <row r="4" spans="1:6" x14ac:dyDescent="0.3">
      <c r="A4" s="6" t="s">
        <v>83</v>
      </c>
      <c r="B4">
        <v>9</v>
      </c>
      <c r="E4" t="str">
        <f>A4</f>
        <v>Healthcare Representative</v>
      </c>
      <c r="F4">
        <f>B4</f>
        <v>9</v>
      </c>
    </row>
    <row r="5" spans="1:6" x14ac:dyDescent="0.3">
      <c r="A5" s="6" t="s">
        <v>163</v>
      </c>
      <c r="B5">
        <v>12</v>
      </c>
      <c r="E5" t="str">
        <f t="shared" ref="E5:E12" si="0">A5</f>
        <v>Human Resources</v>
      </c>
      <c r="F5">
        <f t="shared" ref="F5:F12" si="1">B5</f>
        <v>12</v>
      </c>
    </row>
    <row r="6" spans="1:6" x14ac:dyDescent="0.3">
      <c r="A6" s="6" t="s">
        <v>68</v>
      </c>
      <c r="B6">
        <v>62</v>
      </c>
      <c r="E6" t="str">
        <f t="shared" si="0"/>
        <v>Laboratory Technician</v>
      </c>
      <c r="F6">
        <f t="shared" si="1"/>
        <v>62</v>
      </c>
    </row>
    <row r="7" spans="1:6" x14ac:dyDescent="0.3">
      <c r="A7" s="6" t="s">
        <v>95</v>
      </c>
      <c r="B7">
        <v>5</v>
      </c>
      <c r="E7" t="str">
        <f t="shared" si="0"/>
        <v>Manager</v>
      </c>
      <c r="F7">
        <f t="shared" si="1"/>
        <v>5</v>
      </c>
    </row>
    <row r="8" spans="1:6" x14ac:dyDescent="0.3">
      <c r="A8" s="6" t="s">
        <v>81</v>
      </c>
      <c r="B8">
        <v>10</v>
      </c>
      <c r="E8" t="str">
        <f t="shared" si="0"/>
        <v>Manufacturing Director</v>
      </c>
      <c r="F8">
        <f t="shared" si="1"/>
        <v>10</v>
      </c>
    </row>
    <row r="9" spans="1:6" x14ac:dyDescent="0.3">
      <c r="A9" s="6" t="s">
        <v>101</v>
      </c>
      <c r="B9">
        <v>2</v>
      </c>
      <c r="E9" t="str">
        <f t="shared" si="0"/>
        <v>Research Director</v>
      </c>
      <c r="F9">
        <f t="shared" si="1"/>
        <v>2</v>
      </c>
    </row>
    <row r="10" spans="1:6" x14ac:dyDescent="0.3">
      <c r="A10" s="6" t="s">
        <v>63</v>
      </c>
      <c r="B10">
        <v>47</v>
      </c>
      <c r="E10" t="str">
        <f t="shared" si="0"/>
        <v>Research Scientist</v>
      </c>
      <c r="F10">
        <f t="shared" si="1"/>
        <v>47</v>
      </c>
    </row>
    <row r="11" spans="1:6" x14ac:dyDescent="0.3">
      <c r="A11" s="6" t="s">
        <v>52</v>
      </c>
      <c r="B11">
        <v>57</v>
      </c>
      <c r="E11" t="str">
        <f t="shared" si="0"/>
        <v>Sales Executive</v>
      </c>
      <c r="F11">
        <f t="shared" si="1"/>
        <v>57</v>
      </c>
    </row>
    <row r="12" spans="1:6" x14ac:dyDescent="0.3">
      <c r="A12" s="6" t="s">
        <v>99</v>
      </c>
      <c r="B12">
        <v>33</v>
      </c>
      <c r="E12" t="str">
        <f t="shared" si="0"/>
        <v>Sales Representative</v>
      </c>
      <c r="F12">
        <f t="shared" si="1"/>
        <v>33</v>
      </c>
    </row>
    <row r="13" spans="1:6" x14ac:dyDescent="0.3">
      <c r="A13" s="6" t="s">
        <v>1564</v>
      </c>
      <c r="B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A7B7-D45C-4580-AE38-10AF1B31B268}">
  <dimension ref="A3:B7"/>
  <sheetViews>
    <sheetView workbookViewId="0">
      <selection activeCell="K8" sqref="K8"/>
    </sheetView>
  </sheetViews>
  <sheetFormatPr defaultRowHeight="14.4" x14ac:dyDescent="0.3"/>
  <cols>
    <col min="1" max="1" width="12.5546875" bestFit="1" customWidth="1"/>
    <col min="2" max="2" width="22.88671875" bestFit="1" customWidth="1"/>
  </cols>
  <sheetData>
    <row r="3" spans="1:2" x14ac:dyDescent="0.3">
      <c r="A3" s="5" t="s">
        <v>1563</v>
      </c>
      <c r="B3" t="s">
        <v>1555</v>
      </c>
    </row>
    <row r="4" spans="1:2" x14ac:dyDescent="0.3">
      <c r="A4" s="6" t="s">
        <v>161</v>
      </c>
      <c r="B4" s="8">
        <v>5.0632911392405063E-2</v>
      </c>
    </row>
    <row r="5" spans="1:2" x14ac:dyDescent="0.3">
      <c r="A5" s="6" t="s">
        <v>60</v>
      </c>
      <c r="B5" s="8">
        <v>0.56118143459915615</v>
      </c>
    </row>
    <row r="6" spans="1:2" x14ac:dyDescent="0.3">
      <c r="A6" s="6" t="s">
        <v>48</v>
      </c>
      <c r="B6" s="8">
        <v>0.3881856540084388</v>
      </c>
    </row>
    <row r="7" spans="1:2" x14ac:dyDescent="0.3">
      <c r="A7" s="6" t="s">
        <v>1564</v>
      </c>
      <c r="B7"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A348-842E-44DE-A69F-834F8B53B9B4}">
  <dimension ref="A3:B9"/>
  <sheetViews>
    <sheetView workbookViewId="0">
      <selection activeCell="R20" sqref="R20"/>
    </sheetView>
  </sheetViews>
  <sheetFormatPr defaultRowHeight="14.4" x14ac:dyDescent="0.3"/>
  <cols>
    <col min="1" max="1" width="12.5546875" bestFit="1" customWidth="1"/>
    <col min="2" max="2" width="22.88671875" bestFit="1" customWidth="1"/>
  </cols>
  <sheetData>
    <row r="3" spans="1:2" x14ac:dyDescent="0.3">
      <c r="A3" s="5" t="s">
        <v>1563</v>
      </c>
      <c r="B3" t="s">
        <v>1555</v>
      </c>
    </row>
    <row r="4" spans="1:2" x14ac:dyDescent="0.3">
      <c r="A4" s="6" t="s">
        <v>69</v>
      </c>
      <c r="B4">
        <v>112</v>
      </c>
    </row>
    <row r="5" spans="1:2" x14ac:dyDescent="0.3">
      <c r="A5" s="6" t="s">
        <v>46</v>
      </c>
      <c r="B5">
        <v>51</v>
      </c>
    </row>
    <row r="6" spans="1:2" x14ac:dyDescent="0.3">
      <c r="A6" s="6" t="s">
        <v>92</v>
      </c>
      <c r="B6">
        <v>38</v>
      </c>
    </row>
    <row r="7" spans="1:2" x14ac:dyDescent="0.3">
      <c r="A7" s="6" t="s">
        <v>58</v>
      </c>
      <c r="B7">
        <v>25</v>
      </c>
    </row>
    <row r="8" spans="1:2" x14ac:dyDescent="0.3">
      <c r="A8" s="6" t="s">
        <v>75</v>
      </c>
      <c r="B8">
        <v>11</v>
      </c>
    </row>
    <row r="9" spans="1:2" x14ac:dyDescent="0.3">
      <c r="A9" s="6" t="s">
        <v>1564</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F812A-E3D9-47D6-8AB4-06DD879116C7}">
  <dimension ref="A3:E7"/>
  <sheetViews>
    <sheetView workbookViewId="0">
      <selection activeCell="AL22" sqref="AL22"/>
    </sheetView>
  </sheetViews>
  <sheetFormatPr defaultRowHeight="14.4" x14ac:dyDescent="0.3"/>
  <cols>
    <col min="1" max="1" width="12.5546875" bestFit="1" customWidth="1"/>
    <col min="2" max="2" width="15.88671875" bestFit="1" customWidth="1"/>
    <col min="4" max="4" width="14.6640625" customWidth="1"/>
  </cols>
  <sheetData>
    <row r="3" spans="1:5" x14ac:dyDescent="0.3">
      <c r="A3" s="5" t="s">
        <v>1563</v>
      </c>
      <c r="B3" t="s">
        <v>1567</v>
      </c>
      <c r="D3" t="s">
        <v>10</v>
      </c>
      <c r="E3" t="s">
        <v>0</v>
      </c>
    </row>
    <row r="4" spans="1:5" x14ac:dyDescent="0.3">
      <c r="A4" s="6" t="s">
        <v>79</v>
      </c>
      <c r="B4">
        <v>327</v>
      </c>
      <c r="D4" t="str">
        <f>A4</f>
        <v>Divorced</v>
      </c>
      <c r="E4">
        <f>B4</f>
        <v>327</v>
      </c>
    </row>
    <row r="5" spans="1:5" x14ac:dyDescent="0.3">
      <c r="A5" s="6" t="s">
        <v>64</v>
      </c>
      <c r="B5">
        <v>673</v>
      </c>
      <c r="D5" t="str">
        <f t="shared" ref="D5:D6" si="0">A5</f>
        <v>Married</v>
      </c>
      <c r="E5">
        <f>B5</f>
        <v>673</v>
      </c>
    </row>
    <row r="6" spans="1:5" x14ac:dyDescent="0.3">
      <c r="A6" s="6" t="s">
        <v>53</v>
      </c>
      <c r="B6">
        <v>470</v>
      </c>
      <c r="D6" t="str">
        <f t="shared" si="0"/>
        <v>Single</v>
      </c>
      <c r="E6">
        <f>B6</f>
        <v>470</v>
      </c>
    </row>
    <row r="7" spans="1:5" x14ac:dyDescent="0.3">
      <c r="A7" s="6" t="s">
        <v>1564</v>
      </c>
      <c r="B7">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0A1F-57E9-4348-91AE-4BCE2A0B0B5C}">
  <dimension ref="A1:AR1471"/>
  <sheetViews>
    <sheetView topLeftCell="A2" workbookViewId="0">
      <selection activeCell="D1444" sqref="D1444"/>
    </sheetView>
  </sheetViews>
  <sheetFormatPr defaultColWidth="12.44140625" defaultRowHeight="14.4" x14ac:dyDescent="0.3"/>
  <cols>
    <col min="1" max="1" width="10.88671875" customWidth="1"/>
    <col min="2" max="2" width="17.109375" customWidth="1"/>
    <col min="3" max="3" width="14.77734375" customWidth="1"/>
    <col min="4" max="4" width="19.5546875" customWidth="1"/>
    <col min="5" max="5" width="14.21875" customWidth="1"/>
    <col min="6" max="6" width="17.109375" customWidth="1"/>
    <col min="7" max="7" width="10" customWidth="1"/>
    <col min="8" max="8" width="20.109375" customWidth="1"/>
    <col min="9" max="9" width="9.5546875" customWidth="1"/>
    <col min="10" max="10" width="25.88671875" customWidth="1"/>
    <col min="11" max="11" width="16" customWidth="1"/>
    <col min="13" max="13" width="9.5546875" customWidth="1"/>
    <col min="14" max="14" width="25.33203125" customWidth="1"/>
    <col min="15" max="17" width="9.5546875" customWidth="1"/>
    <col min="18" max="18" width="19.88671875" customWidth="1"/>
    <col min="19" max="19" width="20.77734375" customWidth="1"/>
    <col min="20" max="20" width="18.21875" customWidth="1"/>
    <col min="21" max="21" width="22.6640625" customWidth="1"/>
    <col min="22" max="22" width="12.33203125" customWidth="1"/>
    <col min="23" max="23" width="22.33203125" customWidth="1"/>
    <col min="24" max="24" width="17.77734375" customWidth="1"/>
    <col min="25" max="25" width="18.21875" customWidth="1"/>
    <col min="26" max="26" width="26.21875" customWidth="1"/>
    <col min="27" max="27" width="13.77734375" customWidth="1"/>
    <col min="28" max="28" width="18.21875" customWidth="1"/>
    <col min="29" max="29" width="11.33203125" customWidth="1"/>
    <col min="30" max="30" width="17.44140625" customWidth="1"/>
    <col min="31" max="31" width="18.109375" customWidth="1"/>
    <col min="32" max="32" width="15.5546875" customWidth="1"/>
    <col min="33" max="33" width="26.21875" customWidth="1"/>
    <col min="34" max="34" width="20.88671875" customWidth="1"/>
    <col min="35" max="35" width="21.21875" customWidth="1"/>
    <col min="36" max="36" width="25.88671875" customWidth="1"/>
    <col min="37" max="37" width="17.44140625" customWidth="1"/>
    <col min="38" max="38" width="20.21875" customWidth="1"/>
    <col min="39" max="39" width="21.5546875" customWidth="1"/>
    <col min="40" max="40" width="19.5546875" customWidth="1"/>
    <col min="41" max="41" width="19.88671875" customWidth="1"/>
    <col min="42" max="42" width="22.5546875" customWidth="1"/>
    <col min="43" max="43" width="28" customWidth="1"/>
    <col min="44" max="44" width="26.33203125" customWidth="1"/>
  </cols>
  <sheetData>
    <row r="1" spans="1:44"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C491-4933-4CE3-BAAE-CAF2297325EE}">
  <dimension ref="AH19"/>
  <sheetViews>
    <sheetView showGridLines="0" zoomScale="57" zoomScaleNormal="57" workbookViewId="0">
      <selection activeCell="AK16" sqref="AK16"/>
    </sheetView>
  </sheetViews>
  <sheetFormatPr defaultRowHeight="14.4" x14ac:dyDescent="0.3"/>
  <cols>
    <col min="1" max="16384" width="8.88671875" style="4"/>
  </cols>
  <sheetData>
    <row r="19" spans="34:34" x14ac:dyDescent="0.3">
      <c r="AH19"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Gender</vt:lpstr>
      <vt:lpstr>KPI</vt:lpstr>
      <vt:lpstr>Rating</vt:lpstr>
      <vt:lpstr>Education by Attrition </vt:lpstr>
      <vt:lpstr>Attrition by Job</vt:lpstr>
      <vt:lpstr>Department wise Attrition</vt:lpstr>
      <vt:lpstr>Attrition by Age</vt:lpstr>
      <vt:lpstr>Marital Status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Bhavesh Awar</dc:creator>
  <cp:lastModifiedBy>Bhavesh Awar</cp:lastModifiedBy>
  <dcterms:created xsi:type="dcterms:W3CDTF">2026-03-16T16:28:13Z</dcterms:created>
  <dcterms:modified xsi:type="dcterms:W3CDTF">2026-03-25T16:26:16Z</dcterms:modified>
</cp:coreProperties>
</file>